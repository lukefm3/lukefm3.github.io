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kef\Documents\New R Project\portfolio-processing\cleaned_workbooks\"/>
    </mc:Choice>
  </mc:AlternateContent>
  <xr:revisionPtr revIDLastSave="0" documentId="13_ncr:1_{4E54DCFA-AC29-4311-84B4-B25E6A81E7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rtfolio Guide" sheetId="5" r:id="rId1"/>
    <sheet name="Volume of CO2e Calculator" sheetId="4" r:id="rId2"/>
    <sheet name="Daily HH CO2 w RPS" sheetId="1" r:id="rId3"/>
    <sheet name="Sources" sheetId="2" r:id="rId4"/>
    <sheet name="Method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/>
  <c r="B36" i="1"/>
  <c r="B35" i="1"/>
  <c r="B34" i="1"/>
  <c r="B29" i="1"/>
  <c r="L29" i="1" s="1"/>
  <c r="L28" i="1"/>
  <c r="K28" i="1"/>
  <c r="J28" i="1"/>
  <c r="I28" i="1"/>
  <c r="H28" i="1"/>
  <c r="G28" i="1"/>
  <c r="F28" i="1"/>
  <c r="E28" i="1"/>
  <c r="D28" i="1"/>
  <c r="C28" i="1"/>
  <c r="L6" i="1"/>
  <c r="L19" i="1" s="1"/>
  <c r="K6" i="1"/>
  <c r="K18" i="1" s="1"/>
  <c r="J6" i="1"/>
  <c r="J18" i="1" s="1"/>
  <c r="I6" i="1"/>
  <c r="I23" i="1" s="1"/>
  <c r="H6" i="1"/>
  <c r="H23" i="1" s="1"/>
  <c r="G6" i="1"/>
  <c r="G22" i="1" s="1"/>
  <c r="F6" i="1"/>
  <c r="F22" i="1" s="1"/>
  <c r="E6" i="1"/>
  <c r="E21" i="1" s="1"/>
  <c r="D6" i="1"/>
  <c r="D21" i="1" s="1"/>
  <c r="C6" i="1"/>
  <c r="C20" i="1" s="1"/>
  <c r="C23" i="4"/>
  <c r="L23" i="4" s="1"/>
  <c r="L21" i="4"/>
  <c r="K21" i="4"/>
  <c r="C21" i="4"/>
  <c r="J21" i="4" s="1"/>
  <c r="J8" i="4"/>
  <c r="I8" i="4"/>
  <c r="H8" i="4"/>
  <c r="G8" i="4"/>
  <c r="B8" i="4"/>
  <c r="H10" i="4" s="1"/>
  <c r="C3" i="4" a="1"/>
  <c r="C3" i="4"/>
  <c r="F9" i="1" l="1"/>
  <c r="H10" i="1"/>
  <c r="J11" i="1"/>
  <c r="L12" i="1"/>
  <c r="D14" i="1"/>
  <c r="F15" i="1"/>
  <c r="H16" i="1"/>
  <c r="J17" i="1"/>
  <c r="L18" i="1"/>
  <c r="D20" i="1"/>
  <c r="F21" i="1"/>
  <c r="H22" i="1"/>
  <c r="J23" i="1"/>
  <c r="G9" i="1"/>
  <c r="I10" i="1"/>
  <c r="K11" i="1"/>
  <c r="C13" i="1"/>
  <c r="E14" i="1"/>
  <c r="G15" i="1"/>
  <c r="I16" i="1"/>
  <c r="K17" i="1"/>
  <c r="C19" i="1"/>
  <c r="E20" i="1"/>
  <c r="G21" i="1"/>
  <c r="I22" i="1"/>
  <c r="K23" i="1"/>
  <c r="H9" i="1"/>
  <c r="J10" i="1"/>
  <c r="L11" i="1"/>
  <c r="D13" i="1"/>
  <c r="F14" i="1"/>
  <c r="H15" i="1"/>
  <c r="J16" i="1"/>
  <c r="L17" i="1"/>
  <c r="D19" i="1"/>
  <c r="F20" i="1"/>
  <c r="H21" i="1"/>
  <c r="J22" i="1"/>
  <c r="L23" i="1"/>
  <c r="C29" i="1"/>
  <c r="I9" i="1"/>
  <c r="K10" i="1"/>
  <c r="C12" i="1"/>
  <c r="E13" i="1"/>
  <c r="G14" i="1"/>
  <c r="I15" i="1"/>
  <c r="K16" i="1"/>
  <c r="C18" i="1"/>
  <c r="E19" i="1"/>
  <c r="G20" i="1"/>
  <c r="I21" i="1"/>
  <c r="K22" i="1"/>
  <c r="D29" i="1"/>
  <c r="J9" i="1"/>
  <c r="L10" i="1"/>
  <c r="D12" i="1"/>
  <c r="F13" i="1"/>
  <c r="H14" i="1"/>
  <c r="J15" i="1"/>
  <c r="L16" i="1"/>
  <c r="D18" i="1"/>
  <c r="F19" i="1"/>
  <c r="H20" i="1"/>
  <c r="J21" i="1"/>
  <c r="L22" i="1"/>
  <c r="E29" i="1"/>
  <c r="K9" i="1"/>
  <c r="C11" i="1"/>
  <c r="E12" i="1"/>
  <c r="G13" i="1"/>
  <c r="I14" i="1"/>
  <c r="K15" i="1"/>
  <c r="C17" i="1"/>
  <c r="E18" i="1"/>
  <c r="G19" i="1"/>
  <c r="I20" i="1"/>
  <c r="K21" i="1"/>
  <c r="C23" i="1"/>
  <c r="F29" i="1"/>
  <c r="L9" i="1"/>
  <c r="D11" i="1"/>
  <c r="F12" i="1"/>
  <c r="H13" i="1"/>
  <c r="J14" i="1"/>
  <c r="L15" i="1"/>
  <c r="D17" i="1"/>
  <c r="F18" i="1"/>
  <c r="H19" i="1"/>
  <c r="J20" i="1"/>
  <c r="L21" i="1"/>
  <c r="D23" i="1"/>
  <c r="G29" i="1"/>
  <c r="L10" i="4"/>
  <c r="D23" i="4"/>
  <c r="J5" i="4"/>
  <c r="K8" i="4"/>
  <c r="E23" i="4"/>
  <c r="K5" i="4"/>
  <c r="L8" i="4"/>
  <c r="D21" i="4"/>
  <c r="F23" i="4"/>
  <c r="L5" i="4"/>
  <c r="C10" i="4"/>
  <c r="E21" i="4"/>
  <c r="G23" i="4"/>
  <c r="C8" i="4"/>
  <c r="E10" i="4"/>
  <c r="G21" i="4"/>
  <c r="I23" i="4"/>
  <c r="C10" i="1"/>
  <c r="E11" i="1"/>
  <c r="G12" i="1"/>
  <c r="I13" i="1"/>
  <c r="K14" i="1"/>
  <c r="C16" i="1"/>
  <c r="E17" i="1"/>
  <c r="G18" i="1"/>
  <c r="I19" i="1"/>
  <c r="K20" i="1"/>
  <c r="C22" i="1"/>
  <c r="E23" i="1"/>
  <c r="H29" i="1"/>
  <c r="F5" i="4"/>
  <c r="I10" i="4"/>
  <c r="G5" i="4"/>
  <c r="J10" i="4"/>
  <c r="H5" i="4"/>
  <c r="K10" i="4"/>
  <c r="I5" i="4"/>
  <c r="D10" i="4"/>
  <c r="F21" i="4"/>
  <c r="H23" i="4"/>
  <c r="F11" i="1"/>
  <c r="J13" i="1"/>
  <c r="D16" i="1"/>
  <c r="J19" i="1"/>
  <c r="I29" i="1"/>
  <c r="D5" i="4"/>
  <c r="E8" i="4"/>
  <c r="G10" i="4"/>
  <c r="I21" i="4"/>
  <c r="K23" i="4"/>
  <c r="C9" i="1"/>
  <c r="E10" i="1"/>
  <c r="G11" i="1"/>
  <c r="I12" i="1"/>
  <c r="K13" i="1"/>
  <c r="C15" i="1"/>
  <c r="E16" i="1"/>
  <c r="G17" i="1"/>
  <c r="I18" i="1"/>
  <c r="K19" i="1"/>
  <c r="C21" i="1"/>
  <c r="E22" i="1"/>
  <c r="G23" i="1"/>
  <c r="J29" i="1"/>
  <c r="C5" i="4"/>
  <c r="D8" i="4"/>
  <c r="F10" i="4"/>
  <c r="H21" i="4"/>
  <c r="J23" i="4"/>
  <c r="D10" i="1"/>
  <c r="H12" i="1"/>
  <c r="L14" i="1"/>
  <c r="F17" i="1"/>
  <c r="H18" i="1"/>
  <c r="L20" i="1"/>
  <c r="D22" i="1"/>
  <c r="F23" i="1"/>
  <c r="E5" i="4"/>
  <c r="F8" i="4"/>
  <c r="D9" i="1"/>
  <c r="F10" i="1"/>
  <c r="H11" i="1"/>
  <c r="J12" i="1"/>
  <c r="L13" i="1"/>
  <c r="D15" i="1"/>
  <c r="F16" i="1"/>
  <c r="H17" i="1"/>
  <c r="K29" i="1"/>
  <c r="E9" i="1"/>
  <c r="G10" i="1"/>
  <c r="I11" i="1"/>
  <c r="K12" i="1"/>
  <c r="C14" i="1"/>
  <c r="E15" i="1"/>
  <c r="G16" i="1"/>
  <c r="I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<sst xmlns="http://schemas.openxmlformats.org/spreadsheetml/2006/main" count="242" uniqueCount="133">
  <si>
    <t>RPS Standards &amp; Resulting CO2 Emissions</t>
  </si>
  <si>
    <t>Daily KWH Usage</t>
  </si>
  <si>
    <t>Zero-Renewables</t>
  </si>
  <si>
    <t>(2021, Base Values)</t>
  </si>
  <si>
    <t>2020-2030</t>
  </si>
  <si>
    <t>2030-2040</t>
  </si>
  <si>
    <t>2040-2045</t>
  </si>
  <si>
    <t>Calculator</t>
  </si>
  <si>
    <r>
      <t xml:space="preserve">The use of these household items would generate CO2 equivalent emissions the of this many </t>
    </r>
    <r>
      <rPr>
        <b/>
        <sz val="12"/>
        <color theme="1"/>
        <rFont val="Calibri"/>
        <family val="2"/>
        <scheme val="minor"/>
      </rPr>
      <t>Cubic ft</t>
    </r>
  </si>
  <si>
    <t>Type KWh HERE:</t>
  </si>
  <si>
    <t>Or a Ball of this many feet in diameter</t>
  </si>
  <si>
    <t>Or select an appliance below:</t>
  </si>
  <si>
    <t>TV (3 hr.)</t>
  </si>
  <si>
    <t>Vehicle Emissions Per 10 Mile:</t>
  </si>
  <si>
    <t>KWH/ 10 Mi</t>
  </si>
  <si>
    <t>Electric Vehicles</t>
  </si>
  <si>
    <t>Choose a Vehicle to Compare</t>
  </si>
  <si>
    <t>Volume of Emissions per 10 miles:</t>
  </si>
  <si>
    <t>30 mpg (Diesel)</t>
  </si>
  <si>
    <t>Or a Ball of this many feet in diameter:</t>
  </si>
  <si>
    <t>EDITABLE CELLS</t>
  </si>
  <si>
    <t>For Reference:</t>
  </si>
  <si>
    <t xml:space="preserve">.25 ft Diameter </t>
  </si>
  <si>
    <t>~ Baseball</t>
  </si>
  <si>
    <t xml:space="preserve">.8 ft Diamater </t>
  </si>
  <si>
    <t>~ Basketball</t>
  </si>
  <si>
    <t xml:space="preserve">1.4 ft Diameter </t>
  </si>
  <si>
    <t>~ Extra Small Exercise Ball</t>
  </si>
  <si>
    <t>2.8 ft Diameter</t>
  </si>
  <si>
    <t>~Extra Large Exercise Ball</t>
  </si>
  <si>
    <t>RPS Standards &amp; Resulting CO2e Emissions Volume</t>
  </si>
  <si>
    <t>Pre-Renewables</t>
  </si>
  <si>
    <t>Percent Renewables</t>
  </si>
  <si>
    <t>CO2 equivalent (metric tons) /MWh</t>
  </si>
  <si>
    <t>Cubic ft/ MWh</t>
  </si>
  <si>
    <t>Cubic ft/ KWh</t>
  </si>
  <si>
    <t>Diameter of a Ball / KWH</t>
  </si>
  <si>
    <t>HouseHold Appliance Usage</t>
  </si>
  <si>
    <t>The use of these household items would generate CO2 emissions the size of a ball with this diameter</t>
  </si>
  <si>
    <t>Ceiling Fan (12 hr.)</t>
  </si>
  <si>
    <t>Refrigerator (24 hr.)</t>
  </si>
  <si>
    <t>Oven (1 hr.)</t>
  </si>
  <si>
    <t>Slow Cooker (5 hr.)</t>
  </si>
  <si>
    <t>LED Lightbulb (5 hr.)</t>
  </si>
  <si>
    <t>Water Heater (3 hr.)</t>
  </si>
  <si>
    <t xml:space="preserve">Air Conditioner (5 hr.) </t>
  </si>
  <si>
    <t>Clothes Dryer (1 hr.)</t>
  </si>
  <si>
    <t>Coffee Maker (.5 hr.)</t>
  </si>
  <si>
    <t>Microwave (.25 hr.)</t>
  </si>
  <si>
    <t>Computer (1 hr.)</t>
  </si>
  <si>
    <t xml:space="preserve">Electric Grill (.5 hr.) </t>
  </si>
  <si>
    <t>Washing Machine (.5 hr.)</t>
  </si>
  <si>
    <t>Router (24 hr.)</t>
  </si>
  <si>
    <t>Vehicle Calculations</t>
  </si>
  <si>
    <t>KWH/10 Miles</t>
  </si>
  <si>
    <t>Tesla Kwh per 10 miles:</t>
  </si>
  <si>
    <t>80 Kwh for charge</t>
  </si>
  <si>
    <t>340 Mile Range</t>
  </si>
  <si>
    <t>Vehicles, Emissions Per 10 Miles with 10% Ethanol</t>
  </si>
  <si>
    <t>Volume</t>
  </si>
  <si>
    <t>CO2 (tons)</t>
  </si>
  <si>
    <t>10 mpg (Diesel)</t>
  </si>
  <si>
    <t>10 mpg (Hybrid)</t>
  </si>
  <si>
    <t>10 mpg (Ethanol 10)</t>
  </si>
  <si>
    <t>20 mpg (Diesel)</t>
  </si>
  <si>
    <t>20 mpg (Hybrid)</t>
  </si>
  <si>
    <t>20 mpg (Ethanol 10)</t>
  </si>
  <si>
    <t>30 mpg (Hybrid)</t>
  </si>
  <si>
    <t>30 mpg (Ethanol 10)</t>
  </si>
  <si>
    <t>40 mpg (Diesel)</t>
  </si>
  <si>
    <t>40 mpg (Hybrid)</t>
  </si>
  <si>
    <t>40 mpg (Ethanol 10)</t>
  </si>
  <si>
    <t>Conversions</t>
  </si>
  <si>
    <t>1 mpg = 235.214583 l/100km</t>
  </si>
  <si>
    <t>16.1 km = 10 mi</t>
  </si>
  <si>
    <t>1 tonne CO2 = 19234.57</t>
  </si>
  <si>
    <t>1 ton CO2 = 17449.31</t>
  </si>
  <si>
    <t>Information</t>
  </si>
  <si>
    <t>Source</t>
  </si>
  <si>
    <t>Volume of CO2</t>
  </si>
  <si>
    <t>Weight to Volume conversions for select substances and materials (aqua-calc.com)</t>
  </si>
  <si>
    <t>HI Plant Emissions</t>
  </si>
  <si>
    <t>https://www.epa.gov/egrid/download-data</t>
  </si>
  <si>
    <t>HI Renewable Portfolio Standards</t>
  </si>
  <si>
    <t>https://www.capitol.hawaii.gov/hrscurrent/Vol05_Ch0261-0319/HRS0269/HRS_0269-0092.htm</t>
  </si>
  <si>
    <t>Appliance Usage Estimates</t>
  </si>
  <si>
    <t>https://www.energybot.com/</t>
  </si>
  <si>
    <t>Vehicle Emissions</t>
  </si>
  <si>
    <t>Which form of transport has the smallest carbon footprint? - Our World in Data</t>
  </si>
  <si>
    <t>EV Charge KWh</t>
  </si>
  <si>
    <t>https://www.motorverso.com/how-many-kwh-to-charge-a-tesla/</t>
  </si>
  <si>
    <t>EV Charge Distance</t>
  </si>
  <si>
    <t>How Far Can a Tesla Go in One Charge? - The Motor Digest</t>
  </si>
  <si>
    <t xml:space="preserve">CO2e Vehicle Estimates </t>
  </si>
  <si>
    <t>Calculate the carbon footprint of your car trip– using the myclimate CO2 calculator | myclimate</t>
  </si>
  <si>
    <t>Assumptions:</t>
  </si>
  <si>
    <t>CO2 Volumes Are Derived from CO2 Equivalent Values</t>
  </si>
  <si>
    <t>All informaiton is based off of 100% Grid Usage</t>
  </si>
  <si>
    <t>Calculations are based off data from the year 2021</t>
  </si>
  <si>
    <t>Assumes that CO2e / MWh will be reduced at a constant rate according to 2021 values</t>
  </si>
  <si>
    <t>Assumes a constant electricity generation</t>
  </si>
  <si>
    <t xml:space="preserve">Method: </t>
  </si>
  <si>
    <t>Finding a conversion rate from KWh to Volume of CO2 emitted at different stages of the RPS</t>
  </si>
  <si>
    <t>1. Found the Overall Statewide CO2 / MWh of generation</t>
  </si>
  <si>
    <t>1a. Sum of all Emissions divided by sum of all generation</t>
  </si>
  <si>
    <t>2. Found the Overall Statewide generation for ONLY emitting plants</t>
  </si>
  <si>
    <t>2a. Filtered the data to exclude non-emitting sources</t>
  </si>
  <si>
    <t>2b. Summed all emissions divided by sum of all generation</t>
  </si>
  <si>
    <t xml:space="preserve">3. Established rates of decline for CO2 emissions according to the RPS. </t>
  </si>
  <si>
    <t>3a. Calculated according to rates of GENERATION not of SALES</t>
  </si>
  <si>
    <t>3b. Added additional inbetween periods for large gaps, equal to the midpoint</t>
  </si>
  <si>
    <t>4. Calculated emissions per MWh for each period</t>
  </si>
  <si>
    <t>4a. Calculated the portion of remaining generation that will come from non-renewable resources (1- RPS)</t>
  </si>
  <si>
    <t>4b. Multiply (4a) * the rate of CO2e/MWH for non-renewable resources (2)</t>
  </si>
  <si>
    <t>5. Change to volume (ft^3 / KWh)</t>
  </si>
  <si>
    <t>5a. Currently we have (4b) CO2e / MWH. Divide by 1,000 to get CO2e / KWh</t>
  </si>
  <si>
    <t>5b. Use the volume of CO2 @ 1 atmospheric pressure and 77 degrees faraneheit. 17.44931 ft^3 / KWh</t>
  </si>
  <si>
    <t xml:space="preserve">6. To make Volumes more tangible, make into a sphere with x diameter. </t>
  </si>
  <si>
    <t>6a. Diameter = 2*(Volume (ft^3)*3/4/pi)^(1/3)</t>
  </si>
  <si>
    <t>7. Apply Conversion Rates to KWH estimates for various HH appliances</t>
  </si>
  <si>
    <t>Left with: A ball of x diameter is released for specified usage of a given appliance</t>
  </si>
  <si>
    <t>PLAN | KIND  INSIGHTS</t>
  </si>
  <si>
    <t>CO2 Volume Calculator</t>
  </si>
  <si>
    <t>ENERGY ANALYSIS · PUBLIC COMMUNICATION · APPLIED MODELING</t>
  </si>
  <si>
    <t>PURPOSE</t>
  </si>
  <si>
    <t>Translates electricity-related carbon emissions into an estimated physical volume of CO2e using documented assumptions and source data.</t>
  </si>
  <si>
    <t>HOW TO USE</t>
  </si>
  <si>
    <t>Begin on the calculator sheet, review the stated assumptions, and change only designated input cells.</t>
  </si>
  <si>
    <t>IMPORTANT</t>
  </si>
  <si>
    <t>Illustrative analytical tool. Results depend on emissions factors, renewable portfolio assumptions, and the stated temperature and pressure.</t>
  </si>
  <si>
    <t>PORTFOLIO NOTE</t>
  </si>
  <si>
    <t>This workbook is a cleaned presentation copy of prior analytical work. Core calculations and substantive content have not been rewritten.</t>
  </si>
  <si>
    <t>Grounded in evidence. Focused on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</si>
</sst>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theme="10"/>
      <name val="Calibri"/>
    </font>
    <font>
      <sz val="12"/>
      <color theme="1"/>
      <name val="Calibri"/>
    </font>
    <font>
      <b/>
      <sz val="20"/>
      <color rgb="FFFFFFFF"/>
      <name val="Calibri"/>
    </font>
    <font>
      <b/>
      <sz val="24"/>
      <color rgb="FF12323A"/>
      <name val="Calibri"/>
    </font>
    <font>
      <b/>
      <sz val="10"/>
      <color rgb="FF12323A"/>
      <name val="Calibri"/>
    </font>
    <font>
      <b/>
      <sz val="9"/>
      <color rgb="FFEC7757"/>
      <name val="Calibri"/>
    </font>
    <font>
      <sz val="11"/>
      <color rgb="FF162F35"/>
      <name val="Calibri"/>
    </font>
    <font>
      <i/>
      <sz val="10"/>
      <color rgb="FF647477"/>
      <name val="Calibri"/>
    </font>
    <font>
      <b/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1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2323A"/>
      </patternFill>
    </fill>
    <fill>
      <patternFill patternType="solid">
        <fgColor rgb="FFEC7757"/>
      </patternFill>
    </fill>
    <fill>
      <patternFill patternType="solid">
        <fgColor rgb="FFF3F0E7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1D9D5"/>
      </left>
      <right/>
      <top style="thin">
        <color rgb="FFD1D9D5"/>
      </top>
      <bottom/>
      <diagonal/>
    </border>
    <border>
      <left/>
      <right/>
      <top style="thin">
        <color rgb="FFD1D9D5"/>
      </top>
      <bottom/>
      <diagonal/>
    </border>
    <border>
      <left/>
      <right style="thin">
        <color rgb="FFD1D9D5"/>
      </right>
      <top style="thin">
        <color rgb="FFD1D9D5"/>
      </top>
      <bottom/>
      <diagonal/>
    </border>
    <border>
      <left style="thin">
        <color rgb="FFD1D9D5"/>
      </left>
      <right/>
      <top/>
      <bottom/>
      <diagonal/>
    </border>
    <border>
      <left/>
      <right style="thin">
        <color rgb="FFD1D9D5"/>
      </right>
      <top/>
      <bottom/>
      <diagonal/>
    </border>
    <border>
      <left style="thin">
        <color rgb="FFD1D9D5"/>
      </left>
      <right/>
      <top/>
      <bottom style="thin">
        <color rgb="FFD1D9D5"/>
      </bottom>
      <diagonal/>
    </border>
    <border>
      <left/>
      <right/>
      <top/>
      <bottom style="thin">
        <color rgb="FFD1D9D5"/>
      </bottom>
      <diagonal/>
    </border>
    <border>
      <left/>
      <right style="thin">
        <color rgb="FFD1D9D5"/>
      </right>
      <top/>
      <bottom style="thin">
        <color rgb="FFD1D9D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left" vertical="center" wrapText="1"/>
    </xf>
    <xf numFmtId="0" fontId="18" fillId="0" borderId="0" xfId="42" applyAlignment="1">
      <alignment horizontal="left" vertical="center" wrapText="1"/>
    </xf>
    <xf numFmtId="164" fontId="0" fillId="33" borderId="0" xfId="0" applyNumberFormat="1" applyFill="1" applyAlignment="1">
      <alignment horizontal="center" vertical="center"/>
    </xf>
    <xf numFmtId="164" fontId="0" fillId="33" borderId="0" xfId="0" applyNumberFormat="1" applyFill="1"/>
    <xf numFmtId="164" fontId="0" fillId="0" borderId="0" xfId="0" applyNumberFormat="1"/>
    <xf numFmtId="0" fontId="0" fillId="34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left" vertical="center"/>
    </xf>
    <xf numFmtId="0" fontId="0" fillId="34" borderId="12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4" borderId="11" xfId="0" applyFill="1" applyBorder="1" applyAlignment="1">
      <alignment horizontal="center" vertical="center" wrapText="1"/>
    </xf>
    <xf numFmtId="164" fontId="0" fillId="34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18" fillId="0" borderId="0" xfId="42"/>
    <xf numFmtId="164" fontId="0" fillId="0" borderId="0" xfId="0" applyNumberFormat="1" applyAlignment="1">
      <alignment horizontal="center"/>
    </xf>
    <xf numFmtId="0" fontId="0" fillId="36" borderId="0" xfId="0" applyFill="1"/>
    <xf numFmtId="164" fontId="0" fillId="36" borderId="0" xfId="0" applyNumberFormat="1" applyFill="1"/>
    <xf numFmtId="0" fontId="0" fillId="35" borderId="0" xfId="0" applyFill="1"/>
    <xf numFmtId="0" fontId="0" fillId="33" borderId="0" xfId="0" applyFill="1"/>
    <xf numFmtId="0" fontId="0" fillId="37" borderId="0" xfId="0" applyFill="1"/>
    <xf numFmtId="0" fontId="0" fillId="3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164" fontId="19" fillId="34" borderId="0" xfId="0" applyNumberFormat="1" applyFont="1" applyFill="1" applyAlignment="1">
      <alignment horizontal="center" vertical="center"/>
    </xf>
    <xf numFmtId="0" fontId="20" fillId="38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39" borderId="0" xfId="0" applyFont="1" applyFill="1" applyAlignment="1">
      <alignment vertical="center"/>
    </xf>
    <xf numFmtId="0" fontId="23" fillId="0" borderId="0" xfId="0" applyFont="1" applyAlignment="1">
      <alignment vertical="top"/>
    </xf>
    <xf numFmtId="0" fontId="24" fillId="40" borderId="15" xfId="0" applyFont="1" applyFill="1" applyBorder="1" applyAlignment="1">
      <alignment vertical="center" wrapText="1"/>
    </xf>
    <xf numFmtId="0" fontId="24" fillId="40" borderId="16" xfId="0" applyFont="1" applyFill="1" applyBorder="1" applyAlignment="1">
      <alignment vertical="center" wrapText="1"/>
    </xf>
    <xf numFmtId="0" fontId="24" fillId="40" borderId="17" xfId="0" applyFont="1" applyFill="1" applyBorder="1" applyAlignment="1">
      <alignment vertical="center" wrapText="1"/>
    </xf>
    <xf numFmtId="0" fontId="24" fillId="40" borderId="18" xfId="0" applyFont="1" applyFill="1" applyBorder="1" applyAlignment="1">
      <alignment vertical="center" wrapText="1"/>
    </xf>
    <xf numFmtId="0" fontId="24" fillId="40" borderId="0" xfId="0" applyFont="1" applyFill="1" applyAlignment="1">
      <alignment vertical="center" wrapText="1"/>
    </xf>
    <xf numFmtId="0" fontId="24" fillId="40" borderId="19" xfId="0" applyFont="1" applyFill="1" applyBorder="1" applyAlignment="1">
      <alignment vertical="center" wrapText="1"/>
    </xf>
    <xf numFmtId="0" fontId="24" fillId="40" borderId="20" xfId="0" applyFont="1" applyFill="1" applyBorder="1" applyAlignment="1">
      <alignment vertical="center" wrapText="1"/>
    </xf>
    <xf numFmtId="0" fontId="24" fillId="40" borderId="21" xfId="0" applyFont="1" applyFill="1" applyBorder="1" applyAlignment="1">
      <alignment vertical="center" wrapText="1"/>
    </xf>
    <xf numFmtId="0" fontId="24" fillId="40" borderId="22" xfId="0" applyFont="1" applyFill="1" applyBorder="1" applyAlignment="1">
      <alignment vertical="center" wrapText="1"/>
    </xf>
    <xf numFmtId="0" fontId="25" fillId="0" borderId="0" xfId="0" applyFont="1"/>
  </cellXfs>
  <cellStyles count="43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Hyperlink" xfId="42" xr:uid="{00000000-0005-0000-0000-000021000000}"/>
    <cellStyle name="Input" xfId="9" xr:uid="{00000000-0005-0000-0000-000022000000}"/>
    <cellStyle name="Linked Cell" xfId="12" xr:uid="{00000000-0005-0000-0000-000023000000}"/>
    <cellStyle name="Neutral" xfId="8" xr:uid="{00000000-0005-0000-0000-000024000000}"/>
    <cellStyle name="Normal" xfId="0" builtinId="0"/>
    <cellStyle name="Note" xfId="15" xr:uid="{00000000-0005-0000-0000-000026000000}"/>
    <cellStyle name="Output" xfId="10" xr:uid="{00000000-0005-0000-0000-000027000000}"/>
    <cellStyle name="Title" xfId="1" xr:uid="{00000000-0005-0000-0000-000028000000}"/>
    <cellStyle name="Total" xfId="17" xr:uid="{00000000-0005-0000-0000-000029000000}"/>
    <cellStyle name="Warning Text" xfId="14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bot.com/" TargetMode="External"/><Relationship Id="rId2" Type="http://schemas.openxmlformats.org/officeDocument/2006/relationships/hyperlink" Target="https://www.capitol.hawaii.gov/hrscurrent/Vol05_Ch0261-0319/HRS0269/HRS_0269-0092.htm" TargetMode="External"/><Relationship Id="rId1" Type="http://schemas.openxmlformats.org/officeDocument/2006/relationships/hyperlink" Target="https://www.aqua-calc.com/calculate/weight-to-volume" TargetMode="External"/><Relationship Id="rId6" Type="http://schemas.openxmlformats.org/officeDocument/2006/relationships/hyperlink" Target="https://co2.myclimate.org/en/car_calculators/new" TargetMode="External"/><Relationship Id="rId5" Type="http://schemas.openxmlformats.org/officeDocument/2006/relationships/hyperlink" Target="https://themotordigest.com/how-far-can-a-tesla-go-in-one-charge/" TargetMode="External"/><Relationship Id="rId4" Type="http://schemas.openxmlformats.org/officeDocument/2006/relationships/hyperlink" Target="https://ourworldindata.org/travel-carbon-footpr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tabSelected="1" workbookViewId="0">
      <selection sqref="A1:H2"/>
    </sheetView>
  </sheetViews>
  <sheetFormatPr defaultRowHeight="15" x14ac:dyDescent="0.25"/>
  <cols>
    <col min="1" max="8" width="14" customWidth="1"/>
  </cols>
  <sheetData>
    <row r="1" spans="1:8" ht="21.95" customHeight="1" x14ac:dyDescent="0.25">
      <c r="A1" s="39" t="s">
        <v>121</v>
      </c>
      <c r="B1" s="39"/>
      <c r="C1" s="39"/>
      <c r="D1" s="39"/>
      <c r="E1" s="39"/>
      <c r="F1" s="39"/>
      <c r="G1" s="39"/>
      <c r="H1" s="39"/>
    </row>
    <row r="2" spans="1:8" ht="21.95" customHeight="1" x14ac:dyDescent="0.25">
      <c r="A2" s="39"/>
      <c r="B2" s="39"/>
      <c r="C2" s="39"/>
      <c r="D2" s="39"/>
      <c r="E2" s="39"/>
      <c r="F2" s="39"/>
      <c r="G2" s="39"/>
      <c r="H2" s="39"/>
    </row>
    <row r="3" spans="1:8" ht="21.95" customHeight="1" x14ac:dyDescent="0.25"/>
    <row r="4" spans="1:8" ht="27.95" customHeight="1" x14ac:dyDescent="0.25">
      <c r="A4" s="40" t="s">
        <v>122</v>
      </c>
      <c r="B4" s="40"/>
      <c r="C4" s="40"/>
      <c r="D4" s="40"/>
      <c r="E4" s="40"/>
      <c r="F4" s="40"/>
      <c r="G4" s="40"/>
      <c r="H4" s="40"/>
    </row>
    <row r="5" spans="1:8" ht="27.95" customHeight="1" x14ac:dyDescent="0.25">
      <c r="A5" s="40"/>
      <c r="B5" s="40"/>
      <c r="C5" s="40"/>
      <c r="D5" s="40"/>
      <c r="E5" s="40"/>
      <c r="F5" s="40"/>
      <c r="G5" s="40"/>
      <c r="H5" s="40"/>
    </row>
    <row r="6" spans="1:8" ht="21.95" customHeight="1" x14ac:dyDescent="0.25"/>
    <row r="7" spans="1:8" ht="21.95" customHeight="1" x14ac:dyDescent="0.25">
      <c r="A7" s="41" t="s">
        <v>123</v>
      </c>
      <c r="B7" s="41"/>
      <c r="C7" s="41"/>
      <c r="D7" s="41"/>
      <c r="E7" s="41"/>
      <c r="F7" s="41"/>
      <c r="G7" s="41"/>
      <c r="H7" s="41"/>
    </row>
    <row r="8" spans="1:8" ht="21.95" customHeight="1" x14ac:dyDescent="0.25"/>
    <row r="9" spans="1:8" ht="21.95" customHeight="1" x14ac:dyDescent="0.25">
      <c r="A9" s="42" t="s">
        <v>124</v>
      </c>
      <c r="B9" s="42" t="s">
        <v>124</v>
      </c>
      <c r="C9" s="43" t="s">
        <v>125</v>
      </c>
      <c r="D9" s="44" t="s">
        <v>125</v>
      </c>
      <c r="E9" s="44" t="s">
        <v>125</v>
      </c>
      <c r="F9" s="44" t="s">
        <v>125</v>
      </c>
      <c r="G9" s="44" t="s">
        <v>125</v>
      </c>
      <c r="H9" s="45" t="s">
        <v>125</v>
      </c>
    </row>
    <row r="10" spans="1:8" ht="21.95" customHeight="1" x14ac:dyDescent="0.25">
      <c r="C10" s="46" t="s">
        <v>125</v>
      </c>
      <c r="D10" s="47" t="s">
        <v>125</v>
      </c>
      <c r="E10" s="47" t="s">
        <v>125</v>
      </c>
      <c r="F10" s="47" t="s">
        <v>125</v>
      </c>
      <c r="G10" s="47" t="s">
        <v>125</v>
      </c>
      <c r="H10" s="48" t="s">
        <v>125</v>
      </c>
    </row>
    <row r="11" spans="1:8" ht="21.95" customHeight="1" x14ac:dyDescent="0.25">
      <c r="C11" s="49" t="s">
        <v>125</v>
      </c>
      <c r="D11" s="50" t="s">
        <v>125</v>
      </c>
      <c r="E11" s="50" t="s">
        <v>125</v>
      </c>
      <c r="F11" s="50" t="s">
        <v>125</v>
      </c>
      <c r="G11" s="50" t="s">
        <v>125</v>
      </c>
      <c r="H11" s="51" t="s">
        <v>125</v>
      </c>
    </row>
    <row r="12" spans="1:8" ht="21.95" customHeight="1" x14ac:dyDescent="0.25"/>
    <row r="13" spans="1:8" ht="21.95" customHeight="1" x14ac:dyDescent="0.25">
      <c r="A13" s="42" t="s">
        <v>126</v>
      </c>
      <c r="B13" s="42" t="s">
        <v>126</v>
      </c>
      <c r="C13" s="43" t="s">
        <v>127</v>
      </c>
      <c r="D13" s="44" t="s">
        <v>127</v>
      </c>
      <c r="E13" s="44" t="s">
        <v>127</v>
      </c>
      <c r="F13" s="44" t="s">
        <v>127</v>
      </c>
      <c r="G13" s="44" t="s">
        <v>127</v>
      </c>
      <c r="H13" s="45" t="s">
        <v>127</v>
      </c>
    </row>
    <row r="14" spans="1:8" ht="21.95" customHeight="1" x14ac:dyDescent="0.25">
      <c r="C14" s="46" t="s">
        <v>127</v>
      </c>
      <c r="D14" s="47" t="s">
        <v>127</v>
      </c>
      <c r="E14" s="47" t="s">
        <v>127</v>
      </c>
      <c r="F14" s="47" t="s">
        <v>127</v>
      </c>
      <c r="G14" s="47" t="s">
        <v>127</v>
      </c>
      <c r="H14" s="48" t="s">
        <v>127</v>
      </c>
    </row>
    <row r="15" spans="1:8" ht="21.95" customHeight="1" x14ac:dyDescent="0.25">
      <c r="C15" s="49" t="s">
        <v>127</v>
      </c>
      <c r="D15" s="50" t="s">
        <v>127</v>
      </c>
      <c r="E15" s="50" t="s">
        <v>127</v>
      </c>
      <c r="F15" s="50" t="s">
        <v>127</v>
      </c>
      <c r="G15" s="50" t="s">
        <v>127</v>
      </c>
      <c r="H15" s="51" t="s">
        <v>127</v>
      </c>
    </row>
    <row r="16" spans="1:8" ht="21.95" customHeight="1" x14ac:dyDescent="0.25"/>
    <row r="17" spans="1:8" ht="21.95" customHeight="1" x14ac:dyDescent="0.25">
      <c r="A17" s="42" t="s">
        <v>128</v>
      </c>
      <c r="B17" s="42" t="s">
        <v>128</v>
      </c>
      <c r="C17" s="43" t="s">
        <v>129</v>
      </c>
      <c r="D17" s="44" t="s">
        <v>129</v>
      </c>
      <c r="E17" s="44" t="s">
        <v>129</v>
      </c>
      <c r="F17" s="44" t="s">
        <v>129</v>
      </c>
      <c r="G17" s="44" t="s">
        <v>129</v>
      </c>
      <c r="H17" s="45" t="s">
        <v>129</v>
      </c>
    </row>
    <row r="18" spans="1:8" ht="21.95" customHeight="1" x14ac:dyDescent="0.25">
      <c r="C18" s="46" t="s">
        <v>129</v>
      </c>
      <c r="D18" s="47" t="s">
        <v>129</v>
      </c>
      <c r="E18" s="47" t="s">
        <v>129</v>
      </c>
      <c r="F18" s="47" t="s">
        <v>129</v>
      </c>
      <c r="G18" s="47" t="s">
        <v>129</v>
      </c>
      <c r="H18" s="48" t="s">
        <v>129</v>
      </c>
    </row>
    <row r="19" spans="1:8" ht="21.95" customHeight="1" x14ac:dyDescent="0.25">
      <c r="C19" s="46" t="s">
        <v>129</v>
      </c>
      <c r="D19" s="47" t="s">
        <v>129</v>
      </c>
      <c r="E19" s="47" t="s">
        <v>129</v>
      </c>
      <c r="F19" s="47" t="s">
        <v>129</v>
      </c>
      <c r="G19" s="47" t="s">
        <v>129</v>
      </c>
      <c r="H19" s="48" t="s">
        <v>129</v>
      </c>
    </row>
    <row r="20" spans="1:8" ht="21.95" customHeight="1" x14ac:dyDescent="0.25">
      <c r="C20" s="49" t="s">
        <v>129</v>
      </c>
      <c r="D20" s="50" t="s">
        <v>129</v>
      </c>
      <c r="E20" s="50" t="s">
        <v>129</v>
      </c>
      <c r="F20" s="50" t="s">
        <v>129</v>
      </c>
      <c r="G20" s="50" t="s">
        <v>129</v>
      </c>
      <c r="H20" s="51" t="s">
        <v>129</v>
      </c>
    </row>
    <row r="21" spans="1:8" ht="21.95" customHeight="1" x14ac:dyDescent="0.25"/>
    <row r="22" spans="1:8" ht="21.95" customHeight="1" x14ac:dyDescent="0.25">
      <c r="A22" s="42" t="s">
        <v>130</v>
      </c>
      <c r="B22" s="42" t="s">
        <v>130</v>
      </c>
      <c r="C22" s="43" t="s">
        <v>131</v>
      </c>
      <c r="D22" s="44" t="s">
        <v>131</v>
      </c>
      <c r="E22" s="44" t="s">
        <v>131</v>
      </c>
      <c r="F22" s="44" t="s">
        <v>131</v>
      </c>
      <c r="G22" s="44" t="s">
        <v>131</v>
      </c>
      <c r="H22" s="45" t="s">
        <v>131</v>
      </c>
    </row>
    <row r="23" spans="1:8" ht="21.95" customHeight="1" x14ac:dyDescent="0.25">
      <c r="C23" s="46" t="s">
        <v>131</v>
      </c>
      <c r="D23" s="47" t="s">
        <v>131</v>
      </c>
      <c r="E23" s="47" t="s">
        <v>131</v>
      </c>
      <c r="F23" s="47" t="s">
        <v>131</v>
      </c>
      <c r="G23" s="47" t="s">
        <v>131</v>
      </c>
      <c r="H23" s="48" t="s">
        <v>131</v>
      </c>
    </row>
    <row r="24" spans="1:8" ht="21.95" customHeight="1" x14ac:dyDescent="0.25">
      <c r="C24" s="49" t="s">
        <v>131</v>
      </c>
      <c r="D24" s="50" t="s">
        <v>131</v>
      </c>
      <c r="E24" s="50" t="s">
        <v>131</v>
      </c>
      <c r="F24" s="50" t="s">
        <v>131</v>
      </c>
      <c r="G24" s="50" t="s">
        <v>131</v>
      </c>
      <c r="H24" s="51" t="s">
        <v>131</v>
      </c>
    </row>
    <row r="25" spans="1:8" ht="21.95" customHeight="1" x14ac:dyDescent="0.25"/>
    <row r="26" spans="1:8" ht="21.95" customHeight="1" x14ac:dyDescent="0.25">
      <c r="A26" s="52" t="s">
        <v>132</v>
      </c>
      <c r="B26" s="52"/>
      <c r="C26" s="52"/>
      <c r="D26" s="52"/>
      <c r="E26" s="52"/>
      <c r="F26" s="52"/>
      <c r="G26" s="52"/>
      <c r="H26" s="52"/>
    </row>
  </sheetData>
  <mergeCells count="12">
    <mergeCell ref="A26:H26"/>
    <mergeCell ref="A13:B13"/>
    <mergeCell ref="C13:H15"/>
    <mergeCell ref="A17:B17"/>
    <mergeCell ref="C17:H20"/>
    <mergeCell ref="A22:B22"/>
    <mergeCell ref="C22:H24"/>
    <mergeCell ref="A1:H2"/>
    <mergeCell ref="A4:H5"/>
    <mergeCell ref="A7:H7"/>
    <mergeCell ref="A9:B9"/>
    <mergeCell ref="C9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showGridLines="0" workbookViewId="0"/>
  </sheetViews>
  <sheetFormatPr defaultColWidth="9.140625" defaultRowHeight="15" x14ac:dyDescent="0.25"/>
  <cols>
    <col min="1" max="1" width="38.140625" customWidth="1"/>
    <col min="2" max="2" width="34" customWidth="1"/>
    <col min="3" max="12" width="18.42578125" customWidth="1"/>
  </cols>
  <sheetData>
    <row r="1" spans="1:36" x14ac:dyDescent="0.25">
      <c r="A1" s="30" t="s">
        <v>0</v>
      </c>
      <c r="B1" s="33" t="s">
        <v>1</v>
      </c>
      <c r="C1" s="30" t="s">
        <v>2</v>
      </c>
      <c r="D1" s="30">
        <v>2010</v>
      </c>
      <c r="E1" s="30">
        <v>2015</v>
      </c>
      <c r="F1" s="30" t="s">
        <v>3</v>
      </c>
      <c r="G1" s="30" t="s">
        <v>4</v>
      </c>
      <c r="H1" s="30">
        <v>2030</v>
      </c>
      <c r="I1" s="30" t="s">
        <v>5</v>
      </c>
      <c r="J1" s="30">
        <v>2040</v>
      </c>
      <c r="K1" s="30" t="s">
        <v>6</v>
      </c>
      <c r="L1" s="30">
        <v>2045</v>
      </c>
    </row>
    <row r="2" spans="1:36" ht="15.75" x14ac:dyDescent="0.25">
      <c r="A2" s="30" t="s">
        <v>7</v>
      </c>
      <c r="B2" s="33"/>
      <c r="C2" s="37" t="s">
        <v>8</v>
      </c>
      <c r="D2" s="37"/>
      <c r="E2" s="37"/>
      <c r="F2" s="37"/>
      <c r="G2" s="37"/>
      <c r="H2" s="37"/>
      <c r="I2" s="37"/>
      <c r="J2" s="37"/>
      <c r="K2" s="37"/>
      <c r="L2" s="37"/>
    </row>
    <row r="3" spans="1:36" x14ac:dyDescent="0.25">
      <c r="A3" s="33" t="s">
        <v>9</v>
      </c>
      <c r="B3" s="36">
        <v>16</v>
      </c>
      <c r="C3" s="11" cm="1">
        <f t="array" ref="C3:L3">$B$3*'Daily HH CO2 w RPS'!C5:L5</f>
        <v>258.87140160000001</v>
      </c>
      <c r="D3" s="11">
        <v>232.98426144000001</v>
      </c>
      <c r="E3" s="11">
        <v>220.04069136000001</v>
      </c>
      <c r="F3" s="11">
        <v>209.74811439999999</v>
      </c>
      <c r="G3" s="11">
        <v>181.20998112000001</v>
      </c>
      <c r="H3" s="11">
        <v>155.32284100800001</v>
      </c>
      <c r="I3" s="11">
        <v>116.49213075199999</v>
      </c>
      <c r="J3" s="11">
        <v>77.661420496000005</v>
      </c>
      <c r="K3" s="11">
        <v>38.830710256000003</v>
      </c>
      <c r="L3" s="11">
        <v>0</v>
      </c>
    </row>
    <row r="4" spans="1:36" ht="15.75" x14ac:dyDescent="0.25">
      <c r="A4" s="33"/>
      <c r="B4" s="36"/>
      <c r="C4" s="37" t="s">
        <v>10</v>
      </c>
      <c r="D4" s="37"/>
      <c r="E4" s="37"/>
      <c r="F4" s="37"/>
      <c r="G4" s="37"/>
      <c r="H4" s="37"/>
      <c r="I4" s="37"/>
      <c r="J4" s="37"/>
      <c r="K4" s="37"/>
      <c r="L4" s="37"/>
    </row>
    <row r="5" spans="1:36" x14ac:dyDescent="0.25">
      <c r="A5" s="33"/>
      <c r="B5" s="36"/>
      <c r="C5" s="11">
        <f>$B$3*'Daily HH CO2 w RPS'!C6</f>
        <v>50.208270493732144</v>
      </c>
      <c r="D5" s="11">
        <f>$B$3*'Daily HH CO2 w RPS'!D6</f>
        <v>48.475552181106444</v>
      </c>
      <c r="E5" s="11">
        <f>$B$3*'Daily HH CO2 w RPS'!E6</f>
        <v>47.56069988275096</v>
      </c>
      <c r="F5" s="11">
        <f>$B$3*'Daily HH CO2 w RPS'!F6</f>
        <v>46.807264224930577</v>
      </c>
      <c r="G5" s="11">
        <f>$B$3*'Daily HH CO2 w RPS'!G6</f>
        <v>44.580124291959706</v>
      </c>
      <c r="H5" s="11">
        <f>$B$3*'Daily HH CO2 w RPS'!H6</f>
        <v>42.347295407081916</v>
      </c>
      <c r="I5" s="11">
        <f>$B$3*'Daily HH CO2 w RPS'!I6</f>
        <v>38.475071267036846</v>
      </c>
      <c r="J5" s="11">
        <f>$B$3*'Daily HH CO2 w RPS'!J6</f>
        <v>33.611070637450865</v>
      </c>
      <c r="K5" s="11">
        <f>$B$3*'Daily HH CO2 w RPS'!K6</f>
        <v>26.677124445665513</v>
      </c>
      <c r="L5" s="11">
        <f>$B$3*'Daily HH CO2 w RPS'!L6</f>
        <v>0</v>
      </c>
    </row>
    <row r="6" spans="1:36" s="25" customFormat="1" x14ac:dyDescent="0.25">
      <c r="A6" s="33" t="s">
        <v>11</v>
      </c>
      <c r="B6" s="33"/>
      <c r="C6" s="30" t="s">
        <v>2</v>
      </c>
      <c r="D6" s="30">
        <v>2010</v>
      </c>
      <c r="E6" s="30">
        <v>2015</v>
      </c>
      <c r="F6" s="30" t="s">
        <v>3</v>
      </c>
      <c r="G6" s="30" t="s">
        <v>4</v>
      </c>
      <c r="H6" s="30">
        <v>2030</v>
      </c>
      <c r="I6" s="30" t="s">
        <v>5</v>
      </c>
      <c r="J6" s="30">
        <v>2040</v>
      </c>
      <c r="K6" s="30" t="s">
        <v>6</v>
      </c>
      <c r="L6" s="30">
        <v>2045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15.75" x14ac:dyDescent="0.25">
      <c r="A7" s="33"/>
      <c r="B7" s="33"/>
      <c r="C7" s="37" t="s">
        <v>8</v>
      </c>
      <c r="D7" s="37"/>
      <c r="E7" s="37"/>
      <c r="F7" s="37"/>
      <c r="G7" s="37"/>
      <c r="H7" s="37"/>
      <c r="I7" s="37"/>
      <c r="J7" s="37"/>
      <c r="K7" s="37"/>
      <c r="L7" s="37"/>
    </row>
    <row r="8" spans="1:36" x14ac:dyDescent="0.25">
      <c r="A8" s="29" t="s">
        <v>12</v>
      </c>
      <c r="B8">
        <f>VLOOKUP(A8,'Daily HH CO2 w RPS'!A9:B23,2,FALSE)</f>
        <v>0.45</v>
      </c>
      <c r="C8" s="11">
        <f>$B$8*'Daily HH CO2 w RPS'!C5</f>
        <v>7.2807581700000004</v>
      </c>
      <c r="D8" s="11">
        <f>$B$8*'Daily HH CO2 w RPS'!D5</f>
        <v>6.5526823530000007</v>
      </c>
      <c r="E8" s="11">
        <f>$B$8*'Daily HH CO2 w RPS'!E5</f>
        <v>6.1886444445000004</v>
      </c>
      <c r="F8" s="11">
        <f>$B$8*'Daily HH CO2 w RPS'!F5</f>
        <v>5.8991657174999999</v>
      </c>
      <c r="G8" s="11">
        <f>$B$8*'Daily HH CO2 w RPS'!G5</f>
        <v>5.0965307190000004</v>
      </c>
      <c r="H8" s="11">
        <f>$B$8*'Daily HH CO2 w RPS'!H5</f>
        <v>4.3684549033500009</v>
      </c>
      <c r="I8" s="11">
        <f>$B$8*'Daily HH CO2 w RPS'!I5</f>
        <v>3.2763411774</v>
      </c>
      <c r="J8" s="11">
        <f>$B$8*'Daily HH CO2 w RPS'!J5</f>
        <v>2.1842274514500004</v>
      </c>
      <c r="K8" s="11">
        <f>$B$8*'Daily HH CO2 w RPS'!K5</f>
        <v>1.0921137259500002</v>
      </c>
      <c r="L8" s="11">
        <f>$B$8*'Daily HH CO2 w RPS'!L5</f>
        <v>0</v>
      </c>
    </row>
    <row r="9" spans="1:36" ht="15.75" x14ac:dyDescent="0.25">
      <c r="A9" s="25"/>
      <c r="B9" s="25"/>
      <c r="C9" s="37" t="s">
        <v>10</v>
      </c>
      <c r="D9" s="37"/>
      <c r="E9" s="37"/>
      <c r="F9" s="37"/>
      <c r="G9" s="37"/>
      <c r="H9" s="37"/>
      <c r="I9" s="37"/>
      <c r="J9" s="37"/>
      <c r="K9" s="37"/>
      <c r="L9" s="37"/>
    </row>
    <row r="10" spans="1:36" x14ac:dyDescent="0.25">
      <c r="A10" s="25"/>
      <c r="B10" s="25"/>
      <c r="C10" s="11">
        <f>$B$8*'Daily HH CO2 w RPS'!C6</f>
        <v>1.4121076076362167</v>
      </c>
      <c r="D10" s="11">
        <f>$B$8*'Daily HH CO2 w RPS'!D6</f>
        <v>1.3633749050936188</v>
      </c>
      <c r="E10" s="11">
        <f>$B$8*'Daily HH CO2 w RPS'!E6</f>
        <v>1.3376446842023708</v>
      </c>
      <c r="F10" s="11">
        <f>$B$8*'Daily HH CO2 w RPS'!F6</f>
        <v>1.3164543063261724</v>
      </c>
      <c r="G10" s="11">
        <f>$B$8*'Daily HH CO2 w RPS'!G6</f>
        <v>1.2538159957113668</v>
      </c>
      <c r="H10" s="11">
        <f>$B$8*'Daily HH CO2 w RPS'!H6</f>
        <v>1.191017683324179</v>
      </c>
      <c r="I10" s="11">
        <f>$B$8*'Daily HH CO2 w RPS'!I6</f>
        <v>1.0821113793854114</v>
      </c>
      <c r="J10" s="11">
        <f>$B$8*'Daily HH CO2 w RPS'!J6</f>
        <v>0.94531136167830565</v>
      </c>
      <c r="K10" s="11">
        <f>$B$8*'Daily HH CO2 w RPS'!K6</f>
        <v>0.75029412503434256</v>
      </c>
      <c r="L10" s="11">
        <f>$B$8*'Daily HH CO2 w RPS'!L6</f>
        <v>0</v>
      </c>
    </row>
    <row r="11" spans="1:36" s="25" customFormat="1" x14ac:dyDescent="0.25">
      <c r="C11" s="26"/>
      <c r="D11" s="26"/>
      <c r="E11" s="26"/>
      <c r="F11" s="26"/>
      <c r="G11" s="26"/>
      <c r="H11" s="26"/>
      <c r="I11" s="26"/>
      <c r="J11" s="26"/>
      <c r="K11" s="26"/>
      <c r="L11" s="26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36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36" x14ac:dyDescent="0.25">
      <c r="A14" s="33" t="s">
        <v>13</v>
      </c>
      <c r="B14" s="33" t="s">
        <v>14</v>
      </c>
      <c r="C14" s="30" t="s">
        <v>2</v>
      </c>
      <c r="D14" s="30">
        <v>2010</v>
      </c>
      <c r="E14" s="30">
        <v>2015</v>
      </c>
      <c r="F14" s="30" t="s">
        <v>3</v>
      </c>
      <c r="G14" s="30" t="s">
        <v>4</v>
      </c>
      <c r="H14" s="30">
        <v>2030</v>
      </c>
      <c r="I14" s="30" t="s">
        <v>5</v>
      </c>
      <c r="J14" s="30">
        <v>2040</v>
      </c>
      <c r="K14" s="30" t="s">
        <v>6</v>
      </c>
      <c r="L14" s="30">
        <v>2045</v>
      </c>
    </row>
    <row r="15" spans="1:36" ht="15.75" x14ac:dyDescent="0.25">
      <c r="A15" s="33"/>
      <c r="B15" s="33"/>
      <c r="C15" s="37" t="s">
        <v>8</v>
      </c>
      <c r="D15" s="37"/>
      <c r="E15" s="37"/>
      <c r="F15" s="37"/>
      <c r="G15" s="37"/>
      <c r="H15" s="37"/>
      <c r="I15" s="37"/>
      <c r="J15" s="37"/>
      <c r="K15" s="37"/>
      <c r="L15" s="37"/>
    </row>
    <row r="16" spans="1:36" x14ac:dyDescent="0.25">
      <c r="A16" s="34" t="s">
        <v>15</v>
      </c>
      <c r="B16" s="35">
        <v>2</v>
      </c>
      <c r="C16" s="11">
        <v>32.358925200000002</v>
      </c>
      <c r="D16" s="11">
        <v>29.123032680000001</v>
      </c>
      <c r="E16" s="11">
        <v>27.505086420000001</v>
      </c>
      <c r="F16" s="11">
        <v>26.218514299999999</v>
      </c>
      <c r="G16" s="11">
        <v>22.651247640000001</v>
      </c>
      <c r="H16" s="11">
        <v>19.415355126000001</v>
      </c>
      <c r="I16" s="11">
        <v>14.561516343999999</v>
      </c>
      <c r="J16" s="11">
        <v>9.7076775620000006</v>
      </c>
      <c r="K16" s="11">
        <v>4.8538387820000004</v>
      </c>
      <c r="L16" s="11">
        <v>0</v>
      </c>
    </row>
    <row r="17" spans="1:36" ht="15.75" x14ac:dyDescent="0.25">
      <c r="A17" s="34"/>
      <c r="B17" s="35"/>
      <c r="C17" s="37" t="s">
        <v>10</v>
      </c>
      <c r="D17" s="37"/>
      <c r="E17" s="37"/>
      <c r="F17" s="37"/>
      <c r="G17" s="37"/>
      <c r="H17" s="37"/>
      <c r="I17" s="37"/>
      <c r="J17" s="37"/>
      <c r="K17" s="37"/>
      <c r="L17" s="37"/>
    </row>
    <row r="18" spans="1:36" x14ac:dyDescent="0.25">
      <c r="A18" s="34"/>
      <c r="B18" s="35"/>
      <c r="C18" s="11">
        <v>6.276033811716518</v>
      </c>
      <c r="D18" s="11">
        <v>6.0594440226383055</v>
      </c>
      <c r="E18" s="11">
        <v>5.94508748534387</v>
      </c>
      <c r="F18" s="11">
        <v>5.8509080281163222</v>
      </c>
      <c r="G18" s="11">
        <v>5.5725155364949632</v>
      </c>
      <c r="H18" s="11">
        <v>5.2934119258852395</v>
      </c>
      <c r="I18" s="11">
        <v>4.8093839083796057</v>
      </c>
      <c r="J18" s="11">
        <v>4.2013838296813582</v>
      </c>
      <c r="K18" s="11">
        <v>3.3346405557081891</v>
      </c>
      <c r="L18" s="11">
        <v>0</v>
      </c>
    </row>
    <row r="19" spans="1:36" s="28" customFormat="1" x14ac:dyDescent="0.25">
      <c r="A19" s="33" t="s">
        <v>16</v>
      </c>
      <c r="B19" s="33"/>
      <c r="C19" s="30" t="s">
        <v>2</v>
      </c>
      <c r="D19" s="30">
        <v>2010</v>
      </c>
      <c r="E19" s="30">
        <v>2015</v>
      </c>
      <c r="F19" s="30" t="s">
        <v>3</v>
      </c>
      <c r="G19" s="30" t="s">
        <v>4</v>
      </c>
      <c r="H19" s="30">
        <v>2030</v>
      </c>
      <c r="I19" s="30" t="s">
        <v>5</v>
      </c>
      <c r="J19" s="30">
        <v>2040</v>
      </c>
      <c r="K19" s="30" t="s">
        <v>6</v>
      </c>
      <c r="L19" s="30">
        <v>2045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1:36" ht="15.75" x14ac:dyDescent="0.25">
      <c r="A20" s="33" t="s">
        <v>17</v>
      </c>
      <c r="B20" s="36" t="s">
        <v>18</v>
      </c>
      <c r="C20" s="37" t="s">
        <v>8</v>
      </c>
      <c r="D20" s="37"/>
      <c r="E20" s="37"/>
      <c r="F20" s="37"/>
      <c r="G20" s="37"/>
      <c r="H20" s="37"/>
      <c r="I20" s="37"/>
      <c r="J20" s="37"/>
      <c r="K20" s="37"/>
      <c r="L20" s="37"/>
    </row>
    <row r="21" spans="1:36" ht="15" customHeight="1" x14ac:dyDescent="0.25">
      <c r="A21" s="33"/>
      <c r="B21" s="36" t="s">
        <v>18</v>
      </c>
      <c r="C21" s="11">
        <f>VLOOKUP(B20,'Daily HH CO2 w RPS'!A34:B45,2,FALSE)</f>
        <v>115.40742</v>
      </c>
      <c r="D21" s="11">
        <f t="shared" ref="D21:L21" si="0">$C$21</f>
        <v>115.40742</v>
      </c>
      <c r="E21" s="11">
        <f t="shared" si="0"/>
        <v>115.40742</v>
      </c>
      <c r="F21" s="11">
        <f t="shared" si="0"/>
        <v>115.40742</v>
      </c>
      <c r="G21" s="11">
        <f t="shared" si="0"/>
        <v>115.40742</v>
      </c>
      <c r="H21" s="11">
        <f t="shared" si="0"/>
        <v>115.40742</v>
      </c>
      <c r="I21" s="11">
        <f t="shared" si="0"/>
        <v>115.40742</v>
      </c>
      <c r="J21" s="11">
        <f t="shared" si="0"/>
        <v>115.40742</v>
      </c>
      <c r="K21" s="11">
        <f t="shared" si="0"/>
        <v>115.40742</v>
      </c>
      <c r="L21" s="11">
        <f t="shared" si="0"/>
        <v>115.40742</v>
      </c>
    </row>
    <row r="22" spans="1:36" ht="15.75" x14ac:dyDescent="0.25">
      <c r="A22" s="33"/>
      <c r="B22" s="36" t="s">
        <v>18</v>
      </c>
      <c r="C22" s="37" t="s">
        <v>19</v>
      </c>
      <c r="D22" s="37"/>
      <c r="E22" s="37"/>
      <c r="F22" s="37"/>
      <c r="G22" s="37"/>
      <c r="H22" s="37"/>
      <c r="I22" s="37"/>
      <c r="J22" s="37"/>
      <c r="K22" s="37"/>
      <c r="L22" s="37"/>
    </row>
    <row r="23" spans="1:36" ht="15" customHeight="1" x14ac:dyDescent="0.25">
      <c r="A23" s="33"/>
      <c r="B23" s="36" t="s">
        <v>18</v>
      </c>
      <c r="C23" s="11">
        <f>2*($C$21*3/4*1/3.14159)^(1/3)</f>
        <v>6.0405779394856332</v>
      </c>
      <c r="D23" s="11">
        <f t="shared" ref="D23:L23" si="1">$C$23</f>
        <v>6.0405779394856332</v>
      </c>
      <c r="E23" s="11">
        <f t="shared" si="1"/>
        <v>6.0405779394856332</v>
      </c>
      <c r="F23" s="11">
        <f t="shared" si="1"/>
        <v>6.0405779394856332</v>
      </c>
      <c r="G23" s="11">
        <f t="shared" si="1"/>
        <v>6.0405779394856332</v>
      </c>
      <c r="H23" s="11">
        <f t="shared" si="1"/>
        <v>6.0405779394856332</v>
      </c>
      <c r="I23" s="11">
        <f t="shared" si="1"/>
        <v>6.0405779394856332</v>
      </c>
      <c r="J23" s="11">
        <f t="shared" si="1"/>
        <v>6.0405779394856332</v>
      </c>
      <c r="K23" s="11">
        <f t="shared" si="1"/>
        <v>6.0405779394856332</v>
      </c>
      <c r="L23" s="11">
        <f t="shared" si="1"/>
        <v>6.0405779394856332</v>
      </c>
    </row>
    <row r="24" spans="1:36" s="25" customFormat="1" x14ac:dyDescent="0.25"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36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36" ht="43.5" customHeight="1" x14ac:dyDescent="0.25">
      <c r="A27" s="32" t="s">
        <v>20</v>
      </c>
      <c r="B27" s="32"/>
    </row>
    <row r="28" spans="1:36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36" x14ac:dyDescent="0.25">
      <c r="A29" s="28" t="s">
        <v>21</v>
      </c>
      <c r="B29" s="28"/>
    </row>
    <row r="30" spans="1:36" x14ac:dyDescent="0.25">
      <c r="A30" s="28" t="s">
        <v>22</v>
      </c>
      <c r="B30" s="28" t="s">
        <v>23</v>
      </c>
    </row>
    <row r="31" spans="1:36" x14ac:dyDescent="0.25">
      <c r="A31" s="28" t="s">
        <v>24</v>
      </c>
      <c r="B31" s="28" t="s">
        <v>25</v>
      </c>
    </row>
    <row r="32" spans="1:36" x14ac:dyDescent="0.25">
      <c r="A32" s="28" t="s">
        <v>26</v>
      </c>
      <c r="B32" s="28" t="s">
        <v>27</v>
      </c>
    </row>
    <row r="33" spans="1:2" x14ac:dyDescent="0.25">
      <c r="A33" s="28" t="s">
        <v>28</v>
      </c>
      <c r="B33" s="28" t="s">
        <v>29</v>
      </c>
    </row>
  </sheetData>
  <mergeCells count="20">
    <mergeCell ref="B1:B2"/>
    <mergeCell ref="A20:A23"/>
    <mergeCell ref="B20:B23"/>
    <mergeCell ref="C20:L20"/>
    <mergeCell ref="C22:L22"/>
    <mergeCell ref="C2:L2"/>
    <mergeCell ref="C4:L4"/>
    <mergeCell ref="C9:L9"/>
    <mergeCell ref="C7:L7"/>
    <mergeCell ref="C15:L15"/>
    <mergeCell ref="A6:B7"/>
    <mergeCell ref="A19:B19"/>
    <mergeCell ref="C17:L17"/>
    <mergeCell ref="B3:B5"/>
    <mergeCell ref="A3:A5"/>
    <mergeCell ref="A27:B27"/>
    <mergeCell ref="B14:B15"/>
    <mergeCell ref="A14:A15"/>
    <mergeCell ref="A16:A18"/>
    <mergeCell ref="B16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showGridLines="0" workbookViewId="0"/>
  </sheetViews>
  <sheetFormatPr defaultRowHeight="15" x14ac:dyDescent="0.25"/>
  <cols>
    <col min="1" max="1" width="46.28515625" customWidth="1"/>
    <col min="2" max="2" width="21.140625" customWidth="1"/>
    <col min="3" max="12" width="17.42578125" customWidth="1"/>
  </cols>
  <sheetData>
    <row r="1" spans="1:12" ht="30" x14ac:dyDescent="0.25">
      <c r="A1" s="19" t="s">
        <v>30</v>
      </c>
      <c r="B1" s="17"/>
      <c r="C1" s="15" t="s">
        <v>31</v>
      </c>
      <c r="D1" s="12">
        <v>2010</v>
      </c>
      <c r="E1" s="12">
        <v>2015</v>
      </c>
      <c r="F1" s="12" t="s">
        <v>3</v>
      </c>
      <c r="G1" s="12" t="s">
        <v>4</v>
      </c>
      <c r="H1" s="12">
        <v>2030</v>
      </c>
      <c r="I1" s="12" t="s">
        <v>5</v>
      </c>
      <c r="J1" s="12">
        <v>2040</v>
      </c>
      <c r="K1" s="12" t="s">
        <v>6</v>
      </c>
      <c r="L1" s="12">
        <v>2045</v>
      </c>
    </row>
    <row r="2" spans="1:12" x14ac:dyDescent="0.25">
      <c r="A2" s="14" t="s">
        <v>32</v>
      </c>
      <c r="B2" s="18"/>
      <c r="C2" s="16">
        <v>0</v>
      </c>
      <c r="D2" s="13">
        <v>10</v>
      </c>
      <c r="E2" s="13">
        <v>15</v>
      </c>
      <c r="F2" s="13">
        <v>19</v>
      </c>
      <c r="G2" s="13">
        <v>30</v>
      </c>
      <c r="H2" s="13">
        <v>40</v>
      </c>
      <c r="I2" s="13">
        <v>55</v>
      </c>
      <c r="J2" s="13">
        <v>70</v>
      </c>
      <c r="K2" s="13">
        <v>85</v>
      </c>
      <c r="L2" s="13">
        <v>100</v>
      </c>
    </row>
    <row r="3" spans="1:12" x14ac:dyDescent="0.25">
      <c r="A3" s="2" t="s">
        <v>33</v>
      </c>
      <c r="B3" s="9"/>
      <c r="C3" s="31">
        <v>0.92722649800000001</v>
      </c>
      <c r="D3" s="31">
        <v>0.83450384799999999</v>
      </c>
      <c r="E3" s="31">
        <v>0.78814252299999998</v>
      </c>
      <c r="F3" s="31">
        <v>0.75127653400000005</v>
      </c>
      <c r="G3" s="31">
        <v>0.64905854900000004</v>
      </c>
      <c r="H3" s="31">
        <v>0.55633589900000002</v>
      </c>
      <c r="I3" s="31">
        <v>0.417251924</v>
      </c>
      <c r="J3" s="31">
        <v>0.27816794900000003</v>
      </c>
      <c r="K3" s="31">
        <v>0.139083975</v>
      </c>
      <c r="L3" s="31">
        <v>0</v>
      </c>
    </row>
    <row r="4" spans="1:12" x14ac:dyDescent="0.25">
      <c r="A4" s="2" t="s">
        <v>34</v>
      </c>
      <c r="B4" s="9"/>
      <c r="C4" s="31">
        <v>16179.462600000001</v>
      </c>
      <c r="D4" s="31">
        <v>14561.51634</v>
      </c>
      <c r="E4" s="31">
        <v>13752.54321</v>
      </c>
      <c r="F4" s="31">
        <v>13109.257149999999</v>
      </c>
      <c r="G4" s="31">
        <v>11325.623820000001</v>
      </c>
      <c r="H4" s="31">
        <v>9707.6775629999993</v>
      </c>
      <c r="I4" s="31">
        <v>7280.7581719999998</v>
      </c>
      <c r="J4" s="31">
        <v>4853.8387810000004</v>
      </c>
      <c r="K4" s="31">
        <v>2426.9193909999999</v>
      </c>
      <c r="L4" s="31">
        <v>0</v>
      </c>
    </row>
    <row r="5" spans="1:12" x14ac:dyDescent="0.25">
      <c r="A5" s="2" t="s">
        <v>35</v>
      </c>
      <c r="B5" s="9"/>
      <c r="C5" s="31">
        <v>16.179462600000001</v>
      </c>
      <c r="D5" s="31">
        <v>14.561516340000001</v>
      </c>
      <c r="E5" s="31">
        <v>13.752543210000001</v>
      </c>
      <c r="F5" s="31">
        <v>13.109257149999999</v>
      </c>
      <c r="G5" s="31">
        <v>11.325623820000001</v>
      </c>
      <c r="H5" s="31">
        <v>9.7076775630000007</v>
      </c>
      <c r="I5" s="31">
        <v>7.2807581719999996</v>
      </c>
      <c r="J5" s="31">
        <v>4.8538387810000003</v>
      </c>
      <c r="K5" s="31">
        <v>2.4269193910000002</v>
      </c>
      <c r="L5" s="31">
        <v>0</v>
      </c>
    </row>
    <row r="6" spans="1:12" x14ac:dyDescent="0.25">
      <c r="A6" s="2" t="s">
        <v>36</v>
      </c>
      <c r="B6" s="9"/>
      <c r="C6" s="31">
        <f>2*(C5*3/4*1/3.14159)^(1/3)</f>
        <v>3.138016905858259</v>
      </c>
      <c r="D6" s="31">
        <f t="shared" ref="D6:L6" si="0">2*(D5*3/4*1/3.14159)^(1/3)</f>
        <v>3.0297220113191528</v>
      </c>
      <c r="E6" s="31">
        <f t="shared" si="0"/>
        <v>2.972543742671935</v>
      </c>
      <c r="F6" s="31">
        <f t="shared" si="0"/>
        <v>2.9254540140581611</v>
      </c>
      <c r="G6" s="31">
        <f t="shared" si="0"/>
        <v>2.7862577682474816</v>
      </c>
      <c r="H6" s="31">
        <f t="shared" si="0"/>
        <v>2.6467059629426197</v>
      </c>
      <c r="I6" s="31">
        <f t="shared" si="0"/>
        <v>2.4046919541898029</v>
      </c>
      <c r="J6" s="31">
        <f t="shared" si="0"/>
        <v>2.1006919148406791</v>
      </c>
      <c r="K6" s="31">
        <f t="shared" si="0"/>
        <v>1.6673202778540945</v>
      </c>
      <c r="L6" s="31">
        <f t="shared" si="0"/>
        <v>0</v>
      </c>
    </row>
    <row r="7" spans="1:12" x14ac:dyDescent="0.2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.75" x14ac:dyDescent="0.25">
      <c r="A8" s="30" t="s">
        <v>37</v>
      </c>
      <c r="B8" s="20" t="s">
        <v>1</v>
      </c>
      <c r="C8" s="38" t="s">
        <v>38</v>
      </c>
      <c r="D8" s="38"/>
      <c r="E8" s="38"/>
      <c r="F8" s="38"/>
      <c r="G8" s="38"/>
      <c r="H8" s="38"/>
      <c r="I8" s="38"/>
      <c r="J8" s="38"/>
      <c r="K8" s="38"/>
      <c r="L8" s="38"/>
    </row>
    <row r="9" spans="1:12" x14ac:dyDescent="0.25">
      <c r="A9" t="s">
        <v>39</v>
      </c>
      <c r="B9" s="11">
        <v>0.9</v>
      </c>
      <c r="C9" s="11">
        <f>$B9*C$6</f>
        <v>2.8242152152724334</v>
      </c>
      <c r="D9" s="11">
        <f t="shared" ref="D9:L23" si="1">$B9*D$6</f>
        <v>2.7267498101872376</v>
      </c>
      <c r="E9" s="11">
        <f t="shared" si="1"/>
        <v>2.6752893684047416</v>
      </c>
      <c r="F9" s="11">
        <f t="shared" si="1"/>
        <v>2.6329086126523449</v>
      </c>
      <c r="G9" s="11">
        <f t="shared" si="1"/>
        <v>2.5076319914227336</v>
      </c>
      <c r="H9" s="11">
        <f t="shared" si="1"/>
        <v>2.382035366648358</v>
      </c>
      <c r="I9" s="11">
        <f t="shared" si="1"/>
        <v>2.1642227587708227</v>
      </c>
      <c r="J9" s="11">
        <f t="shared" si="1"/>
        <v>1.8906227233566113</v>
      </c>
      <c r="K9" s="11">
        <f t="shared" si="1"/>
        <v>1.5005882500686851</v>
      </c>
      <c r="L9" s="11">
        <f t="shared" si="1"/>
        <v>0</v>
      </c>
    </row>
    <row r="10" spans="1:12" x14ac:dyDescent="0.25">
      <c r="A10" t="s">
        <v>40</v>
      </c>
      <c r="B10" s="11">
        <v>4.32</v>
      </c>
      <c r="C10" s="11">
        <f t="shared" ref="C10:C23" si="2">$B10*C$6</f>
        <v>13.556233033307679</v>
      </c>
      <c r="D10" s="11">
        <f t="shared" si="1"/>
        <v>13.088399088898742</v>
      </c>
      <c r="E10" s="11">
        <f t="shared" si="1"/>
        <v>12.841388968342761</v>
      </c>
      <c r="F10" s="11">
        <f t="shared" si="1"/>
        <v>12.637961340731257</v>
      </c>
      <c r="G10" s="11">
        <f t="shared" si="1"/>
        <v>12.036633558829122</v>
      </c>
      <c r="H10" s="11">
        <f t="shared" si="1"/>
        <v>11.433769759912119</v>
      </c>
      <c r="I10" s="11">
        <f t="shared" si="1"/>
        <v>10.388269242099948</v>
      </c>
      <c r="J10" s="11">
        <f t="shared" si="1"/>
        <v>9.0749890721117339</v>
      </c>
      <c r="K10" s="11">
        <f t="shared" si="1"/>
        <v>7.2028236003296886</v>
      </c>
      <c r="L10" s="11">
        <f t="shared" si="1"/>
        <v>0</v>
      </c>
    </row>
    <row r="11" spans="1:12" x14ac:dyDescent="0.25">
      <c r="A11" t="s">
        <v>41</v>
      </c>
      <c r="B11" s="11">
        <v>3</v>
      </c>
      <c r="C11" s="11">
        <f t="shared" si="2"/>
        <v>9.4140507175747778</v>
      </c>
      <c r="D11" s="11">
        <f t="shared" si="1"/>
        <v>9.0891660339574578</v>
      </c>
      <c r="E11" s="11">
        <f t="shared" si="1"/>
        <v>8.9176312280158054</v>
      </c>
      <c r="F11" s="11">
        <f t="shared" si="1"/>
        <v>8.7763620421744832</v>
      </c>
      <c r="G11" s="11">
        <f t="shared" si="1"/>
        <v>8.3587733047424457</v>
      </c>
      <c r="H11" s="11">
        <f t="shared" si="1"/>
        <v>7.9401178888278592</v>
      </c>
      <c r="I11" s="11">
        <f t="shared" si="1"/>
        <v>7.214075862569409</v>
      </c>
      <c r="J11" s="11">
        <f t="shared" si="1"/>
        <v>6.3020757445220372</v>
      </c>
      <c r="K11" s="11">
        <f t="shared" si="1"/>
        <v>5.0019608335622836</v>
      </c>
      <c r="L11" s="11">
        <f t="shared" si="1"/>
        <v>0</v>
      </c>
    </row>
    <row r="12" spans="1:12" x14ac:dyDescent="0.25">
      <c r="A12" t="s">
        <v>42</v>
      </c>
      <c r="B12" s="11">
        <v>1</v>
      </c>
      <c r="C12" s="11">
        <f t="shared" si="2"/>
        <v>3.138016905858259</v>
      </c>
      <c r="D12" s="11">
        <f t="shared" si="1"/>
        <v>3.0297220113191528</v>
      </c>
      <c r="E12" s="11">
        <f t="shared" si="1"/>
        <v>2.972543742671935</v>
      </c>
      <c r="F12" s="11">
        <f t="shared" si="1"/>
        <v>2.9254540140581611</v>
      </c>
      <c r="G12" s="11">
        <f t="shared" si="1"/>
        <v>2.7862577682474816</v>
      </c>
      <c r="H12" s="11">
        <f t="shared" si="1"/>
        <v>2.6467059629426197</v>
      </c>
      <c r="I12" s="11">
        <f t="shared" si="1"/>
        <v>2.4046919541898029</v>
      </c>
      <c r="J12" s="11">
        <f t="shared" si="1"/>
        <v>2.1006919148406791</v>
      </c>
      <c r="K12" s="11">
        <f t="shared" si="1"/>
        <v>1.6673202778540945</v>
      </c>
      <c r="L12" s="11">
        <f t="shared" si="1"/>
        <v>0</v>
      </c>
    </row>
    <row r="13" spans="1:12" x14ac:dyDescent="0.25">
      <c r="A13" t="s">
        <v>12</v>
      </c>
      <c r="B13" s="11">
        <v>0.45</v>
      </c>
      <c r="C13" s="11">
        <f t="shared" si="2"/>
        <v>1.4121076076362167</v>
      </c>
      <c r="D13" s="11">
        <f t="shared" si="1"/>
        <v>1.3633749050936188</v>
      </c>
      <c r="E13" s="11">
        <f t="shared" si="1"/>
        <v>1.3376446842023708</v>
      </c>
      <c r="F13" s="11">
        <f t="shared" si="1"/>
        <v>1.3164543063261724</v>
      </c>
      <c r="G13" s="11">
        <f t="shared" si="1"/>
        <v>1.2538159957113668</v>
      </c>
      <c r="H13" s="11">
        <f t="shared" si="1"/>
        <v>1.191017683324179</v>
      </c>
      <c r="I13" s="11">
        <f t="shared" si="1"/>
        <v>1.0821113793854114</v>
      </c>
      <c r="J13" s="11">
        <f t="shared" si="1"/>
        <v>0.94531136167830565</v>
      </c>
      <c r="K13" s="11">
        <f t="shared" si="1"/>
        <v>0.75029412503434256</v>
      </c>
      <c r="L13" s="11">
        <f t="shared" si="1"/>
        <v>0</v>
      </c>
    </row>
    <row r="14" spans="1:12" x14ac:dyDescent="0.25">
      <c r="A14" t="s">
        <v>43</v>
      </c>
      <c r="B14" s="11">
        <v>0.05</v>
      </c>
      <c r="C14" s="11">
        <f t="shared" si="2"/>
        <v>0.15690084529291295</v>
      </c>
      <c r="D14" s="11">
        <f t="shared" si="1"/>
        <v>0.15148610056595765</v>
      </c>
      <c r="E14" s="11">
        <f t="shared" si="1"/>
        <v>0.14862718713359677</v>
      </c>
      <c r="F14" s="11">
        <f t="shared" si="1"/>
        <v>0.14627270070290807</v>
      </c>
      <c r="G14" s="11">
        <f t="shared" si="1"/>
        <v>0.13931288841237408</v>
      </c>
      <c r="H14" s="11">
        <f t="shared" si="1"/>
        <v>0.13233529814713099</v>
      </c>
      <c r="I14" s="11">
        <f t="shared" si="1"/>
        <v>0.12023459770949015</v>
      </c>
      <c r="J14" s="11">
        <f t="shared" si="1"/>
        <v>0.10503459574203396</v>
      </c>
      <c r="K14" s="11">
        <f t="shared" si="1"/>
        <v>8.3366013892704732E-2</v>
      </c>
      <c r="L14" s="11">
        <f t="shared" si="1"/>
        <v>0</v>
      </c>
    </row>
    <row r="15" spans="1:12" x14ac:dyDescent="0.25">
      <c r="A15" t="s">
        <v>44</v>
      </c>
      <c r="B15" s="11">
        <v>9</v>
      </c>
      <c r="C15" s="11">
        <f t="shared" si="2"/>
        <v>28.24215215272433</v>
      </c>
      <c r="D15" s="11">
        <f t="shared" si="1"/>
        <v>27.267498101872373</v>
      </c>
      <c r="E15" s="11">
        <f t="shared" si="1"/>
        <v>26.752893684047415</v>
      </c>
      <c r="F15" s="11">
        <f t="shared" si="1"/>
        <v>26.32908612652345</v>
      </c>
      <c r="G15" s="11">
        <f t="shared" si="1"/>
        <v>25.076319914227334</v>
      </c>
      <c r="H15" s="11">
        <f t="shared" si="1"/>
        <v>23.820353666483577</v>
      </c>
      <c r="I15" s="11">
        <f t="shared" si="1"/>
        <v>21.642227587708227</v>
      </c>
      <c r="J15" s="11">
        <f t="shared" si="1"/>
        <v>18.906227233566113</v>
      </c>
      <c r="K15" s="11">
        <f t="shared" si="1"/>
        <v>15.005882500686852</v>
      </c>
      <c r="L15" s="11">
        <f t="shared" si="1"/>
        <v>0</v>
      </c>
    </row>
    <row r="16" spans="1:12" x14ac:dyDescent="0.25">
      <c r="A16" t="s">
        <v>45</v>
      </c>
      <c r="B16" s="11">
        <v>17.5</v>
      </c>
      <c r="C16" s="11">
        <f t="shared" si="2"/>
        <v>54.915295852519534</v>
      </c>
      <c r="D16" s="11">
        <f t="shared" si="1"/>
        <v>53.020135198085171</v>
      </c>
      <c r="E16" s="11">
        <f t="shared" si="1"/>
        <v>52.019515496758864</v>
      </c>
      <c r="F16" s="11">
        <f t="shared" si="1"/>
        <v>51.195445246017819</v>
      </c>
      <c r="G16" s="11">
        <f t="shared" si="1"/>
        <v>48.759510944330927</v>
      </c>
      <c r="H16" s="11">
        <f t="shared" si="1"/>
        <v>46.317354351495844</v>
      </c>
      <c r="I16" s="11">
        <f t="shared" si="1"/>
        <v>42.082109198321547</v>
      </c>
      <c r="J16" s="11">
        <f t="shared" si="1"/>
        <v>36.762108509711886</v>
      </c>
      <c r="K16" s="11">
        <f t="shared" si="1"/>
        <v>29.178104862446656</v>
      </c>
      <c r="L16" s="11">
        <f t="shared" si="1"/>
        <v>0</v>
      </c>
    </row>
    <row r="17" spans="1:12" x14ac:dyDescent="0.25">
      <c r="A17" s="2" t="s">
        <v>46</v>
      </c>
      <c r="B17" s="22">
        <v>3.4</v>
      </c>
      <c r="C17" s="22">
        <f t="shared" si="2"/>
        <v>10.66925747991808</v>
      </c>
      <c r="D17" s="22">
        <f t="shared" si="1"/>
        <v>10.301054838485118</v>
      </c>
      <c r="E17" s="22">
        <f t="shared" si="1"/>
        <v>10.106648725084579</v>
      </c>
      <c r="F17" s="22">
        <f t="shared" si="1"/>
        <v>9.946543647797748</v>
      </c>
      <c r="G17" s="22">
        <f t="shared" si="1"/>
        <v>9.4732764120414377</v>
      </c>
      <c r="H17" s="22">
        <f t="shared" si="1"/>
        <v>8.9988002740049069</v>
      </c>
      <c r="I17" s="22">
        <f t="shared" si="1"/>
        <v>8.1759526442453296</v>
      </c>
      <c r="J17" s="22">
        <f t="shared" si="1"/>
        <v>7.1423525104583083</v>
      </c>
      <c r="K17" s="22">
        <f t="shared" si="1"/>
        <v>5.6688889447039212</v>
      </c>
      <c r="L17" s="22">
        <f t="shared" si="1"/>
        <v>0</v>
      </c>
    </row>
    <row r="18" spans="1:12" x14ac:dyDescent="0.25">
      <c r="A18" t="s">
        <v>47</v>
      </c>
      <c r="B18" s="11">
        <v>0.75</v>
      </c>
      <c r="C18" s="11">
        <f t="shared" si="2"/>
        <v>2.3535126793936945</v>
      </c>
      <c r="D18" s="11">
        <f t="shared" si="1"/>
        <v>2.2722915084893645</v>
      </c>
      <c r="E18" s="11">
        <f t="shared" si="1"/>
        <v>2.2294078070039514</v>
      </c>
      <c r="F18" s="11">
        <f t="shared" si="1"/>
        <v>2.1940905105436208</v>
      </c>
      <c r="G18" s="11">
        <f t="shared" si="1"/>
        <v>2.0896933261856114</v>
      </c>
      <c r="H18" s="11">
        <f t="shared" si="1"/>
        <v>1.9850294722069648</v>
      </c>
      <c r="I18" s="11">
        <f t="shared" si="1"/>
        <v>1.8035189656423523</v>
      </c>
      <c r="J18" s="11">
        <f t="shared" si="1"/>
        <v>1.5755189361305093</v>
      </c>
      <c r="K18" s="11">
        <f t="shared" si="1"/>
        <v>1.2504902083905709</v>
      </c>
      <c r="L18" s="11">
        <f t="shared" si="1"/>
        <v>0</v>
      </c>
    </row>
    <row r="19" spans="1:12" x14ac:dyDescent="0.25">
      <c r="A19" t="s">
        <v>48</v>
      </c>
      <c r="B19" s="11">
        <v>0.25</v>
      </c>
      <c r="C19" s="11">
        <f t="shared" si="2"/>
        <v>0.78450422646456475</v>
      </c>
      <c r="D19" s="11">
        <f t="shared" si="1"/>
        <v>0.75743050282978819</v>
      </c>
      <c r="E19" s="11">
        <f t="shared" si="1"/>
        <v>0.74313593566798375</v>
      </c>
      <c r="F19" s="11">
        <f t="shared" si="1"/>
        <v>0.73136350351454027</v>
      </c>
      <c r="G19" s="11">
        <f t="shared" si="1"/>
        <v>0.6965644420618704</v>
      </c>
      <c r="H19" s="11">
        <f t="shared" si="1"/>
        <v>0.66167649073565493</v>
      </c>
      <c r="I19" s="11">
        <f t="shared" si="1"/>
        <v>0.60117298854745072</v>
      </c>
      <c r="J19" s="11">
        <f t="shared" si="1"/>
        <v>0.52517297871016977</v>
      </c>
      <c r="K19" s="11">
        <f t="shared" si="1"/>
        <v>0.41683006946352363</v>
      </c>
      <c r="L19" s="11">
        <f t="shared" si="1"/>
        <v>0</v>
      </c>
    </row>
    <row r="20" spans="1:12" x14ac:dyDescent="0.25">
      <c r="A20" t="s">
        <v>49</v>
      </c>
      <c r="B20" s="11">
        <v>7.0000000000000007E-2</v>
      </c>
      <c r="C20" s="11">
        <f t="shared" si="2"/>
        <v>0.21966118341007815</v>
      </c>
      <c r="D20" s="11">
        <f t="shared" si="1"/>
        <v>0.2120805407923407</v>
      </c>
      <c r="E20" s="11">
        <f t="shared" si="1"/>
        <v>0.20807806198703546</v>
      </c>
      <c r="F20" s="11">
        <f t="shared" si="1"/>
        <v>0.20478178098407129</v>
      </c>
      <c r="G20" s="11">
        <f t="shared" si="1"/>
        <v>0.19503804377732373</v>
      </c>
      <c r="H20" s="11">
        <f t="shared" si="1"/>
        <v>0.18526941740598341</v>
      </c>
      <c r="I20" s="11">
        <f t="shared" si="1"/>
        <v>0.16832843679328621</v>
      </c>
      <c r="J20" s="11">
        <f t="shared" si="1"/>
        <v>0.14704843403884754</v>
      </c>
      <c r="K20" s="11">
        <f t="shared" si="1"/>
        <v>0.11671241944978662</v>
      </c>
      <c r="L20" s="11">
        <f t="shared" si="1"/>
        <v>0</v>
      </c>
    </row>
    <row r="21" spans="1:12" s="21" customFormat="1" x14ac:dyDescent="0.25">
      <c r="A21" s="2" t="s">
        <v>50</v>
      </c>
      <c r="B21" s="22">
        <v>0.9</v>
      </c>
      <c r="C21" s="22">
        <f t="shared" si="2"/>
        <v>2.8242152152724334</v>
      </c>
      <c r="D21" s="22">
        <f t="shared" si="1"/>
        <v>2.7267498101872376</v>
      </c>
      <c r="E21" s="22">
        <f t="shared" si="1"/>
        <v>2.6752893684047416</v>
      </c>
      <c r="F21" s="22">
        <f t="shared" si="1"/>
        <v>2.6329086126523449</v>
      </c>
      <c r="G21" s="22">
        <f t="shared" si="1"/>
        <v>2.5076319914227336</v>
      </c>
      <c r="H21" s="22">
        <f t="shared" si="1"/>
        <v>2.382035366648358</v>
      </c>
      <c r="I21" s="22">
        <f t="shared" si="1"/>
        <v>2.1642227587708227</v>
      </c>
      <c r="J21" s="22">
        <f t="shared" si="1"/>
        <v>1.8906227233566113</v>
      </c>
      <c r="K21" s="22">
        <f t="shared" si="1"/>
        <v>1.5005882500686851</v>
      </c>
      <c r="L21" s="22">
        <f t="shared" si="1"/>
        <v>0</v>
      </c>
    </row>
    <row r="22" spans="1:12" x14ac:dyDescent="0.25">
      <c r="A22" t="s">
        <v>51</v>
      </c>
      <c r="B22" s="11">
        <v>0.43</v>
      </c>
      <c r="C22" s="11">
        <f t="shared" si="2"/>
        <v>1.3493472695190514</v>
      </c>
      <c r="D22" s="11">
        <f t="shared" si="1"/>
        <v>1.3027804648672356</v>
      </c>
      <c r="E22" s="11">
        <f t="shared" si="1"/>
        <v>1.278193809348932</v>
      </c>
      <c r="F22" s="11">
        <f t="shared" si="1"/>
        <v>1.2579452260450092</v>
      </c>
      <c r="G22" s="11">
        <f t="shared" si="1"/>
        <v>1.198090840346417</v>
      </c>
      <c r="H22" s="11">
        <f t="shared" si="1"/>
        <v>1.1380835640653264</v>
      </c>
      <c r="I22" s="11">
        <f t="shared" si="1"/>
        <v>1.0340175403016152</v>
      </c>
      <c r="J22" s="11">
        <f t="shared" si="1"/>
        <v>0.90329752338149194</v>
      </c>
      <c r="K22" s="11">
        <f t="shared" si="1"/>
        <v>0.71694771947726066</v>
      </c>
      <c r="L22" s="11">
        <f t="shared" si="1"/>
        <v>0</v>
      </c>
    </row>
    <row r="23" spans="1:12" x14ac:dyDescent="0.25">
      <c r="A23" t="s">
        <v>52</v>
      </c>
      <c r="B23" s="11">
        <v>0.14000000000000001</v>
      </c>
      <c r="C23" s="11">
        <f t="shared" si="2"/>
        <v>0.4393223668201563</v>
      </c>
      <c r="D23" s="11">
        <f t="shared" si="1"/>
        <v>0.42416108158468141</v>
      </c>
      <c r="E23" s="11">
        <f t="shared" si="1"/>
        <v>0.41615612397407092</v>
      </c>
      <c r="F23" s="11">
        <f t="shared" si="1"/>
        <v>0.40956356196814259</v>
      </c>
      <c r="G23" s="11">
        <f t="shared" si="1"/>
        <v>0.39007608755464745</v>
      </c>
      <c r="H23" s="11">
        <f t="shared" si="1"/>
        <v>0.37053883481196681</v>
      </c>
      <c r="I23" s="11">
        <f t="shared" si="1"/>
        <v>0.33665687358657242</v>
      </c>
      <c r="J23" s="11">
        <f t="shared" si="1"/>
        <v>0.29409686807769508</v>
      </c>
      <c r="K23" s="11">
        <f t="shared" si="1"/>
        <v>0.23342483889957324</v>
      </c>
      <c r="L23" s="11">
        <f t="shared" si="1"/>
        <v>0</v>
      </c>
    </row>
    <row r="24" spans="1:12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x14ac:dyDescent="0.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5.75" x14ac:dyDescent="0.25">
      <c r="A27" s="30" t="s">
        <v>53</v>
      </c>
      <c r="B27" s="20" t="s">
        <v>54</v>
      </c>
      <c r="C27" s="38" t="s">
        <v>38</v>
      </c>
      <c r="D27" s="38"/>
      <c r="E27" s="38"/>
      <c r="F27" s="38"/>
      <c r="G27" s="38"/>
      <c r="H27" s="38"/>
      <c r="I27" s="38"/>
      <c r="J27" s="38"/>
      <c r="K27" s="38"/>
      <c r="L27" s="38"/>
    </row>
    <row r="28" spans="1:12" x14ac:dyDescent="0.25">
      <c r="A28" t="s">
        <v>55</v>
      </c>
      <c r="B28" s="11">
        <v>2</v>
      </c>
      <c r="C28" s="11">
        <f>$B$28*C5</f>
        <v>32.358925200000002</v>
      </c>
      <c r="D28" s="11">
        <f t="shared" ref="D28:L28" si="3">$B$28*D5</f>
        <v>29.123032680000001</v>
      </c>
      <c r="E28" s="11">
        <f t="shared" si="3"/>
        <v>27.505086420000001</v>
      </c>
      <c r="F28" s="11">
        <f t="shared" si="3"/>
        <v>26.218514299999999</v>
      </c>
      <c r="G28" s="11">
        <f t="shared" si="3"/>
        <v>22.651247640000001</v>
      </c>
      <c r="H28" s="11">
        <f t="shared" si="3"/>
        <v>19.415355126000001</v>
      </c>
      <c r="I28" s="11">
        <f t="shared" si="3"/>
        <v>14.561516343999999</v>
      </c>
      <c r="J28" s="11">
        <f t="shared" si="3"/>
        <v>9.7076775620000006</v>
      </c>
      <c r="K28" s="11">
        <f t="shared" si="3"/>
        <v>4.8538387820000004</v>
      </c>
      <c r="L28" s="11">
        <f t="shared" si="3"/>
        <v>0</v>
      </c>
    </row>
    <row r="29" spans="1:12" x14ac:dyDescent="0.25">
      <c r="A29" t="s">
        <v>56</v>
      </c>
      <c r="B29" s="11">
        <f>B28</f>
        <v>2</v>
      </c>
      <c r="C29">
        <f>$B$29*C6</f>
        <v>6.276033811716518</v>
      </c>
      <c r="D29">
        <f t="shared" ref="D29:L29" si="4">$B$29*D6</f>
        <v>6.0594440226383055</v>
      </c>
      <c r="E29">
        <f t="shared" si="4"/>
        <v>5.94508748534387</v>
      </c>
      <c r="F29">
        <f t="shared" si="4"/>
        <v>5.8509080281163222</v>
      </c>
      <c r="G29">
        <f t="shared" si="4"/>
        <v>5.5725155364949632</v>
      </c>
      <c r="H29">
        <f t="shared" si="4"/>
        <v>5.2934119258852395</v>
      </c>
      <c r="I29">
        <f t="shared" si="4"/>
        <v>4.8093839083796057</v>
      </c>
      <c r="J29">
        <f t="shared" si="4"/>
        <v>4.2013838296813582</v>
      </c>
      <c r="K29">
        <f t="shared" si="4"/>
        <v>3.3346405557081891</v>
      </c>
      <c r="L29">
        <f t="shared" si="4"/>
        <v>0</v>
      </c>
    </row>
    <row r="30" spans="1:12" s="21" customFormat="1" x14ac:dyDescent="0.25">
      <c r="A30" s="2" t="s">
        <v>57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25">
      <c r="A33" t="s">
        <v>58</v>
      </c>
      <c r="B33" t="s">
        <v>59</v>
      </c>
      <c r="C33" t="s">
        <v>60</v>
      </c>
    </row>
    <row r="34" spans="1:12" x14ac:dyDescent="0.25">
      <c r="A34" s="2" t="s">
        <v>61</v>
      </c>
      <c r="B34" s="1">
        <f>C34*19234.57</f>
        <v>346.22225999999995</v>
      </c>
      <c r="C34" s="1">
        <v>1.7999999999999999E-2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2" t="s">
        <v>62</v>
      </c>
      <c r="B35" s="1">
        <f t="shared" ref="B35:B45" si="5">C35*19234.57</f>
        <v>365.45682999999997</v>
      </c>
      <c r="C35" s="1">
        <v>1.9E-2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63</v>
      </c>
      <c r="B36" s="1">
        <f t="shared" si="5"/>
        <v>288.51855</v>
      </c>
      <c r="C36" s="1">
        <v>1.4999999999999999E-2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64</v>
      </c>
      <c r="B37" s="1">
        <f t="shared" si="5"/>
        <v>173.11112999999997</v>
      </c>
      <c r="C37" s="1">
        <v>8.9999999999999993E-3</v>
      </c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5">
      <c r="A38" s="2" t="s">
        <v>65</v>
      </c>
      <c r="B38" s="1">
        <f t="shared" si="5"/>
        <v>173.11112999999997</v>
      </c>
      <c r="C38" s="1">
        <v>8.9999999999999993E-3</v>
      </c>
    </row>
    <row r="39" spans="1:12" x14ac:dyDescent="0.25">
      <c r="A39" s="2" t="s">
        <v>66</v>
      </c>
      <c r="B39" s="1">
        <f t="shared" si="5"/>
        <v>153.87656000000001</v>
      </c>
      <c r="C39" s="1">
        <v>8.0000000000000002E-3</v>
      </c>
    </row>
    <row r="40" spans="1:12" x14ac:dyDescent="0.25">
      <c r="A40" s="2" t="s">
        <v>18</v>
      </c>
      <c r="B40" s="1">
        <f t="shared" si="5"/>
        <v>115.40742</v>
      </c>
      <c r="C40" s="1">
        <v>6.0000000000000001E-3</v>
      </c>
    </row>
    <row r="41" spans="1:12" x14ac:dyDescent="0.25">
      <c r="A41" s="2" t="s">
        <v>67</v>
      </c>
      <c r="B41" s="1">
        <f t="shared" si="5"/>
        <v>115.40742</v>
      </c>
      <c r="C41" s="1">
        <v>6.0000000000000001E-3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68</v>
      </c>
      <c r="B42" s="1">
        <f t="shared" si="5"/>
        <v>96.172849999999997</v>
      </c>
      <c r="C42" s="24">
        <v>5.0000000000000001E-3</v>
      </c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5">
      <c r="A43" s="2" t="s">
        <v>69</v>
      </c>
      <c r="B43" s="1">
        <f t="shared" si="5"/>
        <v>76.938280000000006</v>
      </c>
      <c r="C43" s="1">
        <v>4.0000000000000001E-3</v>
      </c>
    </row>
    <row r="44" spans="1:12" x14ac:dyDescent="0.25">
      <c r="A44" s="2" t="s">
        <v>70</v>
      </c>
      <c r="B44" s="1">
        <f t="shared" si="5"/>
        <v>96.172849999999997</v>
      </c>
      <c r="C44" s="1">
        <v>5.0000000000000001E-3</v>
      </c>
    </row>
    <row r="45" spans="1:12" x14ac:dyDescent="0.25">
      <c r="A45" s="2" t="s">
        <v>71</v>
      </c>
      <c r="B45" s="1">
        <f t="shared" si="5"/>
        <v>76.938280000000006</v>
      </c>
      <c r="C45" s="1">
        <v>4.0000000000000001E-3</v>
      </c>
    </row>
    <row r="47" spans="1:12" x14ac:dyDescent="0.25">
      <c r="A47" s="2" t="s">
        <v>72</v>
      </c>
    </row>
    <row r="48" spans="1:12" x14ac:dyDescent="0.25">
      <c r="A48" s="2" t="s">
        <v>73</v>
      </c>
    </row>
    <row r="49" spans="1:1" x14ac:dyDescent="0.25">
      <c r="A49" s="2" t="s">
        <v>74</v>
      </c>
    </row>
    <row r="50" spans="1:1" x14ac:dyDescent="0.25">
      <c r="A50" s="2" t="s">
        <v>75</v>
      </c>
    </row>
    <row r="51" spans="1:1" x14ac:dyDescent="0.25">
      <c r="A51" s="2" t="s">
        <v>76</v>
      </c>
    </row>
  </sheetData>
  <mergeCells count="2">
    <mergeCell ref="C8:L8"/>
    <mergeCell ref="C27:L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defaultRowHeight="15" x14ac:dyDescent="0.25"/>
  <cols>
    <col min="1" max="1" width="31.42578125" style="2" customWidth="1"/>
    <col min="2" max="2" width="62.42578125" style="5" customWidth="1"/>
  </cols>
  <sheetData>
    <row r="1" spans="1:2" ht="32.25" customHeight="1" x14ac:dyDescent="0.25">
      <c r="A1" s="3" t="s">
        <v>77</v>
      </c>
      <c r="B1" s="7" t="s">
        <v>78</v>
      </c>
    </row>
    <row r="2" spans="1:2" ht="32.25" customHeight="1" x14ac:dyDescent="0.25">
      <c r="A2" s="2" t="s">
        <v>79</v>
      </c>
      <c r="B2" s="8" t="s">
        <v>80</v>
      </c>
    </row>
    <row r="3" spans="1:2" ht="32.25" customHeight="1" x14ac:dyDescent="0.25">
      <c r="A3" s="2" t="s">
        <v>81</v>
      </c>
      <c r="B3" s="5" t="s">
        <v>82</v>
      </c>
    </row>
    <row r="4" spans="1:2" ht="32.25" customHeight="1" x14ac:dyDescent="0.25">
      <c r="A4" s="2" t="s">
        <v>83</v>
      </c>
      <c r="B4" s="8" t="s">
        <v>84</v>
      </c>
    </row>
    <row r="5" spans="1:2" ht="32.25" customHeight="1" x14ac:dyDescent="0.25">
      <c r="A5" s="2" t="s">
        <v>85</v>
      </c>
      <c r="B5" s="8" t="s">
        <v>86</v>
      </c>
    </row>
    <row r="6" spans="1:2" x14ac:dyDescent="0.25">
      <c r="A6" s="2" t="s">
        <v>87</v>
      </c>
      <c r="B6" s="23" t="s">
        <v>88</v>
      </c>
    </row>
    <row r="7" spans="1:2" x14ac:dyDescent="0.25">
      <c r="A7" s="2" t="s">
        <v>89</v>
      </c>
      <c r="B7" s="5" t="s">
        <v>90</v>
      </c>
    </row>
    <row r="8" spans="1:2" x14ac:dyDescent="0.25">
      <c r="A8" s="2" t="s">
        <v>91</v>
      </c>
      <c r="B8" s="23" t="s">
        <v>92</v>
      </c>
    </row>
    <row r="9" spans="1:2" x14ac:dyDescent="0.25">
      <c r="A9" s="2" t="s">
        <v>93</v>
      </c>
      <c r="B9" s="23" t="s">
        <v>94</v>
      </c>
    </row>
  </sheetData>
  <hyperlinks>
    <hyperlink ref="B2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8" r:id="rId5" xr:uid="{00000000-0004-0000-0200-000004000000}"/>
    <hyperlink ref="B9" r:id="rId6" xr:uid="{00000000-0004-0000-0200-000005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showGridLines="0" workbookViewId="0"/>
  </sheetViews>
  <sheetFormatPr defaultRowHeight="15" x14ac:dyDescent="0.25"/>
  <cols>
    <col min="1" max="1" width="73.7109375" style="4" customWidth="1"/>
  </cols>
  <sheetData>
    <row r="1" spans="1:1" ht="36.75" customHeight="1" x14ac:dyDescent="0.25">
      <c r="A1" s="6" t="s">
        <v>95</v>
      </c>
    </row>
    <row r="2" spans="1:1" ht="36.75" customHeight="1" x14ac:dyDescent="0.25">
      <c r="A2" s="5" t="s">
        <v>96</v>
      </c>
    </row>
    <row r="3" spans="1:1" ht="36.75" customHeight="1" x14ac:dyDescent="0.25">
      <c r="A3" s="5" t="s">
        <v>97</v>
      </c>
    </row>
    <row r="4" spans="1:1" ht="36.75" customHeight="1" x14ac:dyDescent="0.25">
      <c r="A4" s="5" t="s">
        <v>98</v>
      </c>
    </row>
    <row r="5" spans="1:1" ht="36.75" customHeight="1" x14ac:dyDescent="0.25">
      <c r="A5" s="5" t="s">
        <v>99</v>
      </c>
    </row>
    <row r="6" spans="1:1" ht="36.75" customHeight="1" x14ac:dyDescent="0.25">
      <c r="A6" s="5" t="s">
        <v>100</v>
      </c>
    </row>
    <row r="7" spans="1:1" ht="36.75" customHeight="1" x14ac:dyDescent="0.25"/>
    <row r="8" spans="1:1" ht="36.75" customHeight="1" x14ac:dyDescent="0.25">
      <c r="A8" s="6" t="s">
        <v>101</v>
      </c>
    </row>
    <row r="9" spans="1:1" ht="36.75" customHeight="1" x14ac:dyDescent="0.25">
      <c r="A9" s="5" t="s">
        <v>102</v>
      </c>
    </row>
    <row r="10" spans="1:1" ht="36.75" customHeight="1" x14ac:dyDescent="0.25">
      <c r="A10" s="5" t="s">
        <v>103</v>
      </c>
    </row>
    <row r="11" spans="1:1" ht="36.75" customHeight="1" x14ac:dyDescent="0.25">
      <c r="A11" s="5" t="s">
        <v>104</v>
      </c>
    </row>
    <row r="12" spans="1:1" ht="36.75" customHeight="1" x14ac:dyDescent="0.25">
      <c r="A12" s="5" t="s">
        <v>105</v>
      </c>
    </row>
    <row r="13" spans="1:1" ht="36.75" customHeight="1" x14ac:dyDescent="0.25">
      <c r="A13" s="5" t="s">
        <v>106</v>
      </c>
    </row>
    <row r="14" spans="1:1" ht="36.75" customHeight="1" x14ac:dyDescent="0.25">
      <c r="A14" s="5" t="s">
        <v>107</v>
      </c>
    </row>
    <row r="15" spans="1:1" ht="36.75" customHeight="1" x14ac:dyDescent="0.25">
      <c r="A15" s="5" t="s">
        <v>108</v>
      </c>
    </row>
    <row r="16" spans="1:1" ht="36.75" customHeight="1" x14ac:dyDescent="0.25">
      <c r="A16" s="5" t="s">
        <v>109</v>
      </c>
    </row>
    <row r="17" spans="1:1" ht="36.75" customHeight="1" x14ac:dyDescent="0.25">
      <c r="A17" s="5" t="s">
        <v>110</v>
      </c>
    </row>
    <row r="18" spans="1:1" ht="36.75" customHeight="1" x14ac:dyDescent="0.25">
      <c r="A18" s="5" t="s">
        <v>111</v>
      </c>
    </row>
    <row r="19" spans="1:1" ht="36.75" customHeight="1" x14ac:dyDescent="0.25">
      <c r="A19" s="5" t="s">
        <v>112</v>
      </c>
    </row>
    <row r="20" spans="1:1" ht="36.75" customHeight="1" x14ac:dyDescent="0.25">
      <c r="A20" s="5" t="s">
        <v>113</v>
      </c>
    </row>
    <row r="21" spans="1:1" ht="36.75" customHeight="1" x14ac:dyDescent="0.25">
      <c r="A21" s="5" t="s">
        <v>114</v>
      </c>
    </row>
    <row r="22" spans="1:1" ht="36.75" customHeight="1" x14ac:dyDescent="0.25">
      <c r="A22" s="5" t="s">
        <v>115</v>
      </c>
    </row>
    <row r="23" spans="1:1" ht="36.75" customHeight="1" x14ac:dyDescent="0.25">
      <c r="A23" s="5" t="s">
        <v>116</v>
      </c>
    </row>
    <row r="24" spans="1:1" ht="36.75" customHeight="1" x14ac:dyDescent="0.25">
      <c r="A24" s="5" t="s">
        <v>117</v>
      </c>
    </row>
    <row r="25" spans="1:1" ht="36.75" customHeight="1" x14ac:dyDescent="0.25">
      <c r="A25" s="5" t="s">
        <v>118</v>
      </c>
    </row>
    <row r="26" spans="1:1" ht="36.75" customHeight="1" x14ac:dyDescent="0.25">
      <c r="A26" s="5" t="s">
        <v>119</v>
      </c>
    </row>
    <row r="27" spans="1:1" ht="36.75" customHeight="1" x14ac:dyDescent="0.25">
      <c r="A27" s="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Guide</vt:lpstr>
      <vt:lpstr>Volume of CO2e Calculator</vt:lpstr>
      <vt:lpstr>Daily HH CO2 w RPS</vt:lpstr>
      <vt:lpstr>Sources</vt:lpstr>
      <vt:lpstr>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Miller</cp:lastModifiedBy>
  <dcterms:modified xsi:type="dcterms:W3CDTF">2026-07-30T20:13:49Z</dcterms:modified>
</cp:coreProperties>
</file>